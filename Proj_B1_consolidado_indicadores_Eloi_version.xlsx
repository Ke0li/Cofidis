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eloikling1/Documents/stage/cofidis/modele_de_ML /"/>
    </mc:Choice>
  </mc:AlternateContent>
  <xr:revisionPtr revIDLastSave="0" documentId="13_ncr:1_{AA3FAD61-559C-A94E-8C9F-AAD9B7B33852}" xr6:coauthVersionLast="47" xr6:coauthVersionMax="47" xr10:uidLastSave="{00000000-0000-0000-0000-000000000000}"/>
  <bookViews>
    <workbookView xWindow="0" yWindow="760" windowWidth="29400" windowHeight="17180" tabRatio="821" activeTab="2" xr2:uid="{00000000-000D-0000-FFFF-FFFF00000000}"/>
  </bookViews>
  <sheets>
    <sheet name="Portugal_indicadores" sheetId="12" r:id="rId1"/>
    <sheet name="Consolidado_projection" sheetId="13" r:id="rId2"/>
    <sheet name="Consolidado_projection (2)" sheetId="19" r:id="rId3"/>
    <sheet name="gdp" sheetId="17" state="hidden" r:id="rId4"/>
  </sheets>
  <externalReferences>
    <externalReference r:id="rId5"/>
  </externalReferences>
  <definedNames>
    <definedName name="_xlnm._FilterDatabase" localSheetId="0" hidden="1">Portugal_indicadores!$A$1:$M$62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37" i="19" l="1"/>
  <c r="BA35" i="19"/>
  <c r="BC35" i="19"/>
  <c r="BE35" i="19" s="1"/>
  <c r="AW48" i="19"/>
  <c r="AY48" i="19" s="1"/>
  <c r="AW49" i="19"/>
  <c r="AY49" i="19" s="1"/>
  <c r="AS48" i="19"/>
  <c r="AU48" i="19"/>
  <c r="AU49" i="19"/>
  <c r="AU47" i="19"/>
  <c r="AW47" i="19"/>
  <c r="AY47" i="19" s="1"/>
  <c r="AS49" i="19"/>
  <c r="AS47" i="19"/>
  <c r="AS46" i="19"/>
  <c r="AW35" i="19"/>
  <c r="AU35" i="19"/>
  <c r="AU36" i="19"/>
  <c r="AY43" i="19"/>
  <c r="AY39" i="19"/>
  <c r="AY38" i="19"/>
  <c r="AY37" i="19"/>
  <c r="AY36" i="19"/>
  <c r="AY35" i="19"/>
  <c r="AR36" i="19"/>
  <c r="AR37" i="19"/>
  <c r="AR38" i="19"/>
  <c r="AR39" i="19"/>
  <c r="AR40" i="19"/>
  <c r="AR41" i="19"/>
  <c r="AR42" i="19"/>
  <c r="AR43" i="19"/>
  <c r="AR44" i="19"/>
  <c r="AR45" i="19"/>
  <c r="AR46" i="19"/>
  <c r="AR35" i="19"/>
  <c r="AU37" i="19"/>
  <c r="AU38" i="19"/>
  <c r="AW38" i="19" s="1"/>
  <c r="AU39" i="19"/>
  <c r="AU40" i="19"/>
  <c r="AU41" i="19"/>
  <c r="AU42" i="19"/>
  <c r="AU43" i="19"/>
  <c r="AU44" i="19"/>
  <c r="AU45" i="19"/>
  <c r="AU46" i="19"/>
  <c r="AS36" i="19"/>
  <c r="AS37" i="19"/>
  <c r="AS38" i="19"/>
  <c r="AS39" i="19"/>
  <c r="AS40" i="19"/>
  <c r="AS41" i="19"/>
  <c r="AS42" i="19"/>
  <c r="AS43" i="19"/>
  <c r="AS44" i="19"/>
  <c r="AW44" i="19" s="1"/>
  <c r="AY44" i="19" s="1"/>
  <c r="AS45" i="19"/>
  <c r="AS35" i="19"/>
  <c r="F73" i="12"/>
  <c r="F74" i="12"/>
  <c r="I86" i="12"/>
  <c r="I75" i="12"/>
  <c r="I76" i="12" s="1"/>
  <c r="I77" i="12" s="1"/>
  <c r="I78" i="12" s="1"/>
  <c r="I79" i="12" s="1"/>
  <c r="I80" i="12" s="1"/>
  <c r="I81" i="12" s="1"/>
  <c r="I82" i="12" s="1"/>
  <c r="I83" i="12" s="1"/>
  <c r="I84" i="12" s="1"/>
  <c r="I85" i="12" s="1"/>
  <c r="P84" i="12"/>
  <c r="L76" i="12"/>
  <c r="L77" i="12"/>
  <c r="L78" i="12"/>
  <c r="L79" i="12"/>
  <c r="L80" i="12" s="1"/>
  <c r="L81" i="12" s="1"/>
  <c r="L82" i="12" s="1"/>
  <c r="L83" i="12" s="1"/>
  <c r="L85" i="12" s="1"/>
  <c r="L86" i="12" s="1"/>
  <c r="L87" i="12" s="1"/>
  <c r="L88" i="12" s="1"/>
  <c r="L89" i="12" s="1"/>
  <c r="L90" i="12" s="1"/>
  <c r="L91" i="12" s="1"/>
  <c r="M80" i="12"/>
  <c r="M81" i="12"/>
  <c r="M82" i="12"/>
  <c r="M83" i="12"/>
  <c r="M84" i="12"/>
  <c r="M85" i="12"/>
  <c r="M86" i="12"/>
  <c r="M87" i="12"/>
  <c r="M88" i="12"/>
  <c r="M89" i="12"/>
  <c r="M90" i="12"/>
  <c r="M91" i="12"/>
  <c r="K76" i="12"/>
  <c r="K77" i="12"/>
  <c r="K78" i="12"/>
  <c r="K79" i="12"/>
  <c r="K91" i="12"/>
  <c r="L75" i="12"/>
  <c r="J76" i="12"/>
  <c r="J77" i="12"/>
  <c r="J78" i="12"/>
  <c r="J79" i="12"/>
  <c r="J80" i="12"/>
  <c r="K75" i="12"/>
  <c r="J75" i="12"/>
  <c r="AW46" i="19" l="1"/>
  <c r="AY46" i="19" s="1"/>
  <c r="AW45" i="19"/>
  <c r="AY45" i="19" s="1"/>
  <c r="AW37" i="19"/>
  <c r="AW36" i="19"/>
  <c r="AW39" i="19"/>
  <c r="AW40" i="19"/>
  <c r="AY40" i="19" s="1"/>
  <c r="AW41" i="19"/>
  <c r="AY41" i="19" s="1"/>
  <c r="AW43" i="19"/>
  <c r="AW42" i="19"/>
  <c r="AY42" i="19" s="1"/>
  <c r="I87" i="12"/>
  <c r="I88" i="12" s="1"/>
  <c r="I89" i="12" s="1"/>
  <c r="I90" i="12" s="1"/>
  <c r="I91" i="12" s="1"/>
  <c r="D30" i="19"/>
  <c r="D31" i="19"/>
  <c r="D32" i="19"/>
  <c r="D33" i="19"/>
  <c r="D34" i="19"/>
  <c r="F37" i="19"/>
  <c r="F38" i="19"/>
  <c r="F39" i="19"/>
  <c r="F40" i="19"/>
  <c r="F41" i="19"/>
  <c r="F42" i="19"/>
  <c r="F43" i="19"/>
  <c r="F44" i="19"/>
  <c r="F45" i="19"/>
  <c r="D29" i="19"/>
  <c r="D12" i="19"/>
  <c r="F12" i="19"/>
  <c r="D13" i="19"/>
  <c r="F13" i="19"/>
  <c r="D14" i="19"/>
  <c r="F14" i="19"/>
  <c r="D15" i="19"/>
  <c r="F15" i="19"/>
  <c r="D16" i="19"/>
  <c r="F16" i="19"/>
  <c r="D17" i="19"/>
  <c r="F17" i="19"/>
  <c r="D18" i="19"/>
  <c r="F18" i="19"/>
  <c r="D19" i="19"/>
  <c r="F19" i="19"/>
  <c r="D20" i="19"/>
  <c r="F20" i="19"/>
  <c r="D21" i="19"/>
  <c r="F21" i="19"/>
  <c r="F22" i="19"/>
  <c r="F11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2" i="19"/>
  <c r="X22" i="19" s="1"/>
  <c r="B21" i="19"/>
  <c r="X21" i="19" s="1"/>
  <c r="B20" i="19"/>
  <c r="X20" i="19" s="1"/>
  <c r="B19" i="19"/>
  <c r="X19" i="19" s="1"/>
  <c r="B18" i="19"/>
  <c r="X18" i="19" s="1"/>
  <c r="B17" i="19"/>
  <c r="X17" i="19" s="1"/>
  <c r="B16" i="19"/>
  <c r="X16" i="19" s="1"/>
  <c r="B15" i="19"/>
  <c r="X15" i="19" s="1"/>
  <c r="B14" i="19"/>
  <c r="X14" i="19" s="1"/>
  <c r="B13" i="19"/>
  <c r="X13" i="19" s="1"/>
  <c r="B12" i="19"/>
  <c r="X12" i="19" s="1"/>
  <c r="D11" i="19"/>
  <c r="B11" i="19"/>
  <c r="X11" i="19" s="1"/>
  <c r="F4" i="19"/>
  <c r="E4" i="19"/>
  <c r="D4" i="19"/>
  <c r="D5" i="19" s="1"/>
  <c r="C4" i="19"/>
  <c r="F3" i="19"/>
  <c r="F10" i="19" s="1"/>
  <c r="F28" i="19" s="1"/>
  <c r="E3" i="19"/>
  <c r="E10" i="19" s="1"/>
  <c r="E28" i="19" s="1"/>
  <c r="D3" i="19"/>
  <c r="D10" i="19" s="1"/>
  <c r="D28" i="19" s="1"/>
  <c r="C3" i="19"/>
  <c r="F5" i="19" l="1"/>
  <c r="E5" i="19"/>
  <c r="U29" i="12" l="1"/>
  <c r="U30" i="12"/>
  <c r="U31" i="12"/>
  <c r="K83" i="12" s="1"/>
  <c r="U32" i="12"/>
  <c r="K84" i="12" s="1"/>
  <c r="U33" i="12"/>
  <c r="U34" i="12"/>
  <c r="K86" i="12" s="1"/>
  <c r="U35" i="12"/>
  <c r="K87" i="12" s="1"/>
  <c r="U36" i="12"/>
  <c r="K88" i="12" s="1"/>
  <c r="U37" i="12"/>
  <c r="K89" i="12" s="1"/>
  <c r="U38" i="12"/>
  <c r="K90" i="12" s="1"/>
  <c r="U28" i="12"/>
  <c r="K80" i="12" s="1"/>
  <c r="T30" i="12"/>
  <c r="J82" i="12" s="1"/>
  <c r="T31" i="12"/>
  <c r="T32" i="12"/>
  <c r="J84" i="12" s="1"/>
  <c r="T33" i="12"/>
  <c r="T34" i="12"/>
  <c r="J86" i="12" s="1"/>
  <c r="T35" i="12"/>
  <c r="T36" i="12"/>
  <c r="J88" i="12" s="1"/>
  <c r="T37" i="12"/>
  <c r="T38" i="12"/>
  <c r="J90" i="12" s="1"/>
  <c r="T39" i="12"/>
  <c r="T29" i="12"/>
  <c r="D30" i="13"/>
  <c r="G30" i="13"/>
  <c r="H30" i="13"/>
  <c r="D31" i="13"/>
  <c r="F31" i="13"/>
  <c r="G31" i="13"/>
  <c r="H31" i="13"/>
  <c r="D32" i="13"/>
  <c r="F32" i="13"/>
  <c r="G32" i="13"/>
  <c r="H32" i="13"/>
  <c r="D33" i="13"/>
  <c r="F33" i="13"/>
  <c r="G33" i="13"/>
  <c r="H33" i="13"/>
  <c r="D34" i="13"/>
  <c r="F34" i="13"/>
  <c r="G34" i="13"/>
  <c r="H34" i="13"/>
  <c r="F35" i="13"/>
  <c r="G35" i="13"/>
  <c r="H35" i="13"/>
  <c r="F36" i="13"/>
  <c r="G36" i="13"/>
  <c r="H36" i="13"/>
  <c r="D37" i="13"/>
  <c r="F37" i="13"/>
  <c r="G37" i="13"/>
  <c r="H37" i="13"/>
  <c r="F38" i="13"/>
  <c r="G38" i="13"/>
  <c r="H38" i="13"/>
  <c r="D39" i="13"/>
  <c r="F39" i="13"/>
  <c r="G39" i="13"/>
  <c r="H39" i="13"/>
  <c r="F40" i="13"/>
  <c r="G40" i="13"/>
  <c r="H40" i="13"/>
  <c r="D41" i="13"/>
  <c r="F41" i="13"/>
  <c r="H41" i="13"/>
  <c r="F42" i="13"/>
  <c r="D43" i="13"/>
  <c r="F43" i="13"/>
  <c r="G43" i="13"/>
  <c r="F44" i="13"/>
  <c r="G44" i="13"/>
  <c r="F45" i="13"/>
  <c r="H29" i="13"/>
  <c r="G29" i="13"/>
  <c r="D29" i="13"/>
  <c r="H42" i="13" l="1"/>
  <c r="H45" i="13"/>
  <c r="D39" i="19"/>
  <c r="J85" i="12"/>
  <c r="D35" i="19"/>
  <c r="J81" i="12"/>
  <c r="D45" i="19"/>
  <c r="J91" i="12"/>
  <c r="D37" i="19"/>
  <c r="J83" i="12"/>
  <c r="G45" i="13"/>
  <c r="K85" i="12"/>
  <c r="D43" i="19"/>
  <c r="J89" i="12"/>
  <c r="H44" i="13"/>
  <c r="K82" i="12"/>
  <c r="G42" i="13"/>
  <c r="D41" i="19"/>
  <c r="J87" i="12"/>
  <c r="G41" i="13"/>
  <c r="K81" i="12"/>
  <c r="D45" i="13"/>
  <c r="D38" i="13"/>
  <c r="D38" i="19"/>
  <c r="D40" i="13"/>
  <c r="D40" i="19"/>
  <c r="D44" i="13"/>
  <c r="D44" i="19"/>
  <c r="D36" i="13"/>
  <c r="D36" i="19"/>
  <c r="D35" i="13"/>
  <c r="D42" i="13"/>
  <c r="D42" i="19"/>
  <c r="H43" i="13"/>
  <c r="B45" i="13" l="1"/>
  <c r="B43" i="13"/>
  <c r="B44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29" i="13"/>
  <c r="J74" i="12"/>
  <c r="D22" i="19" s="1"/>
  <c r="H12" i="13"/>
  <c r="H13" i="13"/>
  <c r="H14" i="13"/>
  <c r="H15" i="13"/>
  <c r="H16" i="13"/>
  <c r="H17" i="13"/>
  <c r="H18" i="13"/>
  <c r="H19" i="13"/>
  <c r="H20" i="13"/>
  <c r="H21" i="13"/>
  <c r="H22" i="13"/>
  <c r="H11" i="13"/>
  <c r="G12" i="13"/>
  <c r="G13" i="13"/>
  <c r="G14" i="13"/>
  <c r="G15" i="13"/>
  <c r="G16" i="13"/>
  <c r="G17" i="13"/>
  <c r="G18" i="13"/>
  <c r="G19" i="13"/>
  <c r="G20" i="13"/>
  <c r="G21" i="13"/>
  <c r="G22" i="13"/>
  <c r="G11" i="13"/>
  <c r="F12" i="13"/>
  <c r="F13" i="13"/>
  <c r="F14" i="13"/>
  <c r="F15" i="13"/>
  <c r="F16" i="13"/>
  <c r="F17" i="13"/>
  <c r="F18" i="13"/>
  <c r="F19" i="13"/>
  <c r="F20" i="13"/>
  <c r="F21" i="13"/>
  <c r="F22" i="13"/>
  <c r="F11" i="13"/>
  <c r="D12" i="13"/>
  <c r="D13" i="13"/>
  <c r="D14" i="13"/>
  <c r="D15" i="13"/>
  <c r="D16" i="13"/>
  <c r="D17" i="13"/>
  <c r="D18" i="13"/>
  <c r="D19" i="13"/>
  <c r="D20" i="13"/>
  <c r="D21" i="13"/>
  <c r="D11" i="13"/>
  <c r="B12" i="13"/>
  <c r="Z12" i="13" s="1"/>
  <c r="B13" i="13"/>
  <c r="Z13" i="13" s="1"/>
  <c r="B14" i="13"/>
  <c r="Z14" i="13" s="1"/>
  <c r="B15" i="13"/>
  <c r="Z15" i="13" s="1"/>
  <c r="B16" i="13"/>
  <c r="Z16" i="13" s="1"/>
  <c r="B17" i="13"/>
  <c r="Z17" i="13" s="1"/>
  <c r="B18" i="13"/>
  <c r="Z18" i="13" s="1"/>
  <c r="B19" i="13"/>
  <c r="Z19" i="13" s="1"/>
  <c r="B20" i="13"/>
  <c r="Z20" i="13" s="1"/>
  <c r="B21" i="13"/>
  <c r="Z21" i="13" s="1"/>
  <c r="B22" i="13"/>
  <c r="Z22" i="13" s="1"/>
  <c r="B11" i="13"/>
  <c r="Z11" i="13" s="1"/>
  <c r="D22" i="13" l="1"/>
  <c r="R39" i="12"/>
  <c r="R36" i="12"/>
  <c r="R33" i="12"/>
  <c r="R30" i="12"/>
  <c r="H82" i="12" s="1"/>
  <c r="R27" i="12"/>
  <c r="R24" i="12"/>
  <c r="H76" i="12" s="1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 s="1"/>
  <c r="G81" i="12" s="1"/>
  <c r="G82" i="12" s="1"/>
  <c r="G83" i="12" s="1"/>
  <c r="G84" i="12" s="1"/>
  <c r="G85" i="12" s="1"/>
  <c r="G86" i="12" s="1"/>
  <c r="G87" i="12" s="1"/>
  <c r="G88" i="12" s="1"/>
  <c r="G89" i="12" s="1"/>
  <c r="G90" i="12" s="1"/>
  <c r="G91" i="12" s="1"/>
  <c r="G14" i="12"/>
  <c r="C71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43" i="12"/>
  <c r="R35" i="12" l="1"/>
  <c r="H88" i="12"/>
  <c r="R37" i="12"/>
  <c r="H89" i="12" s="1"/>
  <c r="H91" i="12"/>
  <c r="R25" i="12"/>
  <c r="H77" i="12" s="1"/>
  <c r="H79" i="12"/>
  <c r="R32" i="12"/>
  <c r="H85" i="12"/>
  <c r="R38" i="12"/>
  <c r="H90" i="12" s="1"/>
  <c r="J21" i="19"/>
  <c r="AA21" i="19" s="1"/>
  <c r="L21" i="13"/>
  <c r="AC21" i="13" s="1"/>
  <c r="J19" i="19"/>
  <c r="AA19" i="19" s="1"/>
  <c r="L19" i="13"/>
  <c r="AC19" i="13" s="1"/>
  <c r="J17" i="19"/>
  <c r="AA17" i="19" s="1"/>
  <c r="L17" i="13"/>
  <c r="AC17" i="13" s="1"/>
  <c r="J15" i="19"/>
  <c r="AA15" i="19" s="1"/>
  <c r="L15" i="13"/>
  <c r="AC15" i="13" s="1"/>
  <c r="J13" i="19"/>
  <c r="AA13" i="19" s="1"/>
  <c r="L13" i="13"/>
  <c r="AC13" i="13" s="1"/>
  <c r="J11" i="19"/>
  <c r="AA11" i="19" s="1"/>
  <c r="L11" i="13"/>
  <c r="AC11" i="13" s="1"/>
  <c r="E39" i="19"/>
  <c r="H39" i="19" s="1"/>
  <c r="E85" i="12" s="1"/>
  <c r="E39" i="13"/>
  <c r="E45" i="19"/>
  <c r="H45" i="19" s="1"/>
  <c r="E91" i="12" s="1"/>
  <c r="E45" i="13"/>
  <c r="R23" i="12"/>
  <c r="H75" i="12" s="1"/>
  <c r="R28" i="12"/>
  <c r="H80" i="12" s="1"/>
  <c r="J22" i="19"/>
  <c r="AA22" i="19" s="1"/>
  <c r="L22" i="13"/>
  <c r="AC22" i="13" s="1"/>
  <c r="J20" i="19"/>
  <c r="AA20" i="19" s="1"/>
  <c r="L20" i="13"/>
  <c r="AC20" i="13" s="1"/>
  <c r="J18" i="19"/>
  <c r="AA18" i="19" s="1"/>
  <c r="L18" i="13"/>
  <c r="AC18" i="13" s="1"/>
  <c r="J16" i="19"/>
  <c r="AA16" i="19" s="1"/>
  <c r="L16" i="13"/>
  <c r="AC16" i="13" s="1"/>
  <c r="J14" i="19"/>
  <c r="AA14" i="19" s="1"/>
  <c r="L14" i="13"/>
  <c r="AC14" i="13" s="1"/>
  <c r="J12" i="19"/>
  <c r="AA12" i="19" s="1"/>
  <c r="L12" i="13"/>
  <c r="AC12" i="13" s="1"/>
  <c r="E42" i="19"/>
  <c r="H42" i="19" s="1"/>
  <c r="E88" i="12" s="1"/>
  <c r="E42" i="13"/>
  <c r="R26" i="12"/>
  <c r="H78" i="12" s="1"/>
  <c r="R29" i="12"/>
  <c r="H81" i="12" s="1"/>
  <c r="B15" i="12"/>
  <c r="C15" i="12" s="1"/>
  <c r="B16" i="12"/>
  <c r="C16" i="12" s="1"/>
  <c r="B17" i="12"/>
  <c r="C17" i="12" s="1"/>
  <c r="B18" i="12"/>
  <c r="C18" i="12" s="1"/>
  <c r="B19" i="12"/>
  <c r="C19" i="12" s="1"/>
  <c r="B20" i="12"/>
  <c r="C20" i="12" s="1"/>
  <c r="B21" i="12"/>
  <c r="C21" i="12" s="1"/>
  <c r="B22" i="12"/>
  <c r="C22" i="12" s="1"/>
  <c r="B23" i="12"/>
  <c r="C23" i="12" s="1"/>
  <c r="B24" i="12"/>
  <c r="C24" i="12" s="1"/>
  <c r="B25" i="12"/>
  <c r="C25" i="12" s="1"/>
  <c r="B26" i="12"/>
  <c r="C26" i="12" s="1"/>
  <c r="B27" i="12"/>
  <c r="C27" i="12" s="1"/>
  <c r="B28" i="12"/>
  <c r="C28" i="12" s="1"/>
  <c r="B29" i="12"/>
  <c r="C29" i="12" s="1"/>
  <c r="B30" i="12"/>
  <c r="C30" i="12" s="1"/>
  <c r="B31" i="12"/>
  <c r="C31" i="12" s="1"/>
  <c r="B32" i="12"/>
  <c r="C32" i="12" s="1"/>
  <c r="B33" i="12"/>
  <c r="C33" i="12" s="1"/>
  <c r="B34" i="12"/>
  <c r="C34" i="12" s="1"/>
  <c r="B35" i="12"/>
  <c r="C35" i="12" s="1"/>
  <c r="B36" i="12"/>
  <c r="C36" i="12" s="1"/>
  <c r="B37" i="12"/>
  <c r="C37" i="12" s="1"/>
  <c r="B38" i="12"/>
  <c r="C38" i="12" s="1"/>
  <c r="B39" i="12"/>
  <c r="C39" i="12" s="1"/>
  <c r="B40" i="12"/>
  <c r="C40" i="12" s="1"/>
  <c r="B41" i="12"/>
  <c r="C41" i="12" s="1"/>
  <c r="B42" i="12"/>
  <c r="C42" i="12" s="1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C72" i="12" s="1"/>
  <c r="B73" i="12"/>
  <c r="C73" i="12" s="1"/>
  <c r="B74" i="12"/>
  <c r="C74" i="12" s="1"/>
  <c r="R31" i="12" l="1"/>
  <c r="H83" i="12" s="1"/>
  <c r="H84" i="12"/>
  <c r="E40" i="13"/>
  <c r="E40" i="19"/>
  <c r="H40" i="19" s="1"/>
  <c r="E86" i="12" s="1"/>
  <c r="R34" i="12"/>
  <c r="H86" i="12" s="1"/>
  <c r="H87" i="12"/>
  <c r="D74" i="12"/>
  <c r="E74" i="12"/>
  <c r="E44" i="19"/>
  <c r="H44" i="19" s="1"/>
  <c r="E90" i="12" s="1"/>
  <c r="E44" i="13"/>
  <c r="E43" i="19"/>
  <c r="H43" i="19" s="1"/>
  <c r="E89" i="12" s="1"/>
  <c r="E43" i="13"/>
  <c r="L23" i="13"/>
  <c r="E41" i="19"/>
  <c r="H41" i="19" s="1"/>
  <c r="E87" i="12" s="1"/>
  <c r="E41" i="13"/>
  <c r="E38" i="19"/>
  <c r="H38" i="19" s="1"/>
  <c r="E84" i="12" s="1"/>
  <c r="E38" i="13"/>
  <c r="R22" i="12"/>
  <c r="J23" i="19"/>
  <c r="B14" i="12"/>
  <c r="C14" i="12" s="1"/>
  <c r="E37" i="19" l="1"/>
  <c r="H37" i="19" s="1"/>
  <c r="E83" i="12" s="1"/>
  <c r="E37" i="13"/>
  <c r="H71" i="12"/>
  <c r="H68" i="12"/>
  <c r="H65" i="12"/>
  <c r="H62" i="12"/>
  <c r="H59" i="12"/>
  <c r="H57" i="12"/>
  <c r="H56" i="12"/>
  <c r="H53" i="12"/>
  <c r="H54" i="12" s="1"/>
  <c r="H50" i="12"/>
  <c r="H51" i="12" s="1"/>
  <c r="H52" i="12" s="1"/>
  <c r="H47" i="12"/>
  <c r="H48" i="12" s="1"/>
  <c r="H49" i="12" s="1"/>
  <c r="H44" i="12"/>
  <c r="H45" i="12" s="1"/>
  <c r="H46" i="12" s="1"/>
  <c r="H41" i="12"/>
  <c r="H42" i="12" s="1"/>
  <c r="H43" i="12" s="1"/>
  <c r="H38" i="12"/>
  <c r="H39" i="12" s="1"/>
  <c r="H40" i="12" s="1"/>
  <c r="H35" i="12"/>
  <c r="H36" i="12" s="1"/>
  <c r="H37" i="12" s="1"/>
  <c r="H32" i="12"/>
  <c r="H33" i="12" s="1"/>
  <c r="H34" i="12" s="1"/>
  <c r="H29" i="12"/>
  <c r="H30" i="12" s="1"/>
  <c r="H31" i="12" s="1"/>
  <c r="H26" i="12"/>
  <c r="H27" i="12" s="1"/>
  <c r="H28" i="12" s="1"/>
  <c r="H23" i="12"/>
  <c r="H24" i="12" s="1"/>
  <c r="H25" i="12" s="1"/>
  <c r="H20" i="12"/>
  <c r="H21" i="12" s="1"/>
  <c r="H22" i="12" s="1"/>
  <c r="H17" i="12"/>
  <c r="H18" i="12" s="1"/>
  <c r="H19" i="12" s="1"/>
  <c r="H14" i="12"/>
  <c r="H15" i="12" s="1"/>
  <c r="H16" i="12" s="1"/>
  <c r="H11" i="12"/>
  <c r="H12" i="12" s="1"/>
  <c r="H13" i="12" s="1"/>
  <c r="H8" i="12"/>
  <c r="H9" i="12" s="1"/>
  <c r="H10" i="12" s="1"/>
  <c r="H5" i="12"/>
  <c r="H7" i="12" s="1"/>
  <c r="H2" i="12"/>
  <c r="H4" i="12" s="1"/>
  <c r="H6" i="12" l="1"/>
  <c r="H55" i="12"/>
  <c r="E11" i="19"/>
  <c r="H11" i="19" s="1"/>
  <c r="Y11" i="19" s="1"/>
  <c r="AC11" i="19" s="1"/>
  <c r="AE11" i="19" s="1"/>
  <c r="R2" i="12"/>
  <c r="E11" i="13"/>
  <c r="E14" i="19"/>
  <c r="H14" i="19" s="1"/>
  <c r="R5" i="12"/>
  <c r="E14" i="13"/>
  <c r="H60" i="12"/>
  <c r="E16" i="19"/>
  <c r="H16" i="19" s="1"/>
  <c r="R7" i="12"/>
  <c r="E16" i="13"/>
  <c r="E22" i="19"/>
  <c r="H22" i="19" s="1"/>
  <c r="R13" i="12"/>
  <c r="E22" i="13"/>
  <c r="H72" i="12"/>
  <c r="R19" i="12"/>
  <c r="E13" i="19"/>
  <c r="H13" i="19" s="1"/>
  <c r="R4" i="12"/>
  <c r="E13" i="13"/>
  <c r="H58" i="12"/>
  <c r="H63" i="12"/>
  <c r="E19" i="19"/>
  <c r="H19" i="19" s="1"/>
  <c r="R10" i="12"/>
  <c r="E19" i="13"/>
  <c r="H69" i="12"/>
  <c r="R16" i="12"/>
  <c r="H3" i="12"/>
  <c r="H66" i="12"/>
  <c r="L19" i="19" l="1"/>
  <c r="Y19" i="19"/>
  <c r="AC19" i="19" s="1"/>
  <c r="AE19" i="19" s="1"/>
  <c r="L14" i="19"/>
  <c r="Y14" i="19"/>
  <c r="AC14" i="19" s="1"/>
  <c r="AE14" i="19" s="1"/>
  <c r="L22" i="19"/>
  <c r="Y22" i="19"/>
  <c r="AC22" i="19" s="1"/>
  <c r="AE22" i="19" s="1"/>
  <c r="L13" i="19"/>
  <c r="Y13" i="19"/>
  <c r="AC13" i="19" s="1"/>
  <c r="AE13" i="19" s="1"/>
  <c r="L16" i="19"/>
  <c r="Y16" i="19"/>
  <c r="AC16" i="19" s="1"/>
  <c r="AE16" i="19" s="1"/>
  <c r="H70" i="12"/>
  <c r="R18" i="12" s="1"/>
  <c r="R17" i="12"/>
  <c r="H64" i="12"/>
  <c r="E20" i="19"/>
  <c r="H20" i="19" s="1"/>
  <c r="R11" i="12"/>
  <c r="E20" i="13"/>
  <c r="H73" i="12"/>
  <c r="R20" i="12"/>
  <c r="E12" i="19"/>
  <c r="H12" i="19" s="1"/>
  <c r="R3" i="12"/>
  <c r="E12" i="13"/>
  <c r="H67" i="12"/>
  <c r="R15" i="12" s="1"/>
  <c r="R14" i="12"/>
  <c r="E31" i="19"/>
  <c r="E31" i="13"/>
  <c r="E15" i="19"/>
  <c r="H15" i="19" s="1"/>
  <c r="R6" i="12"/>
  <c r="E15" i="13"/>
  <c r="E34" i="19"/>
  <c r="E34" i="13"/>
  <c r="J34" i="13" s="1"/>
  <c r="D80" i="12" s="1"/>
  <c r="H61" i="12"/>
  <c r="E17" i="19"/>
  <c r="H17" i="19" s="1"/>
  <c r="R8" i="12"/>
  <c r="E17" i="13"/>
  <c r="L11" i="19"/>
  <c r="T3" i="12"/>
  <c r="T4" i="12"/>
  <c r="T5" i="12"/>
  <c r="T2" i="12"/>
  <c r="V2" i="12"/>
  <c r="W2" i="12"/>
  <c r="V3" i="12"/>
  <c r="W3" i="12"/>
  <c r="V4" i="12"/>
  <c r="W4" i="12"/>
  <c r="V5" i="12"/>
  <c r="W5" i="12"/>
  <c r="U2" i="12"/>
  <c r="U3" i="12"/>
  <c r="U4" i="12"/>
  <c r="U5" i="12"/>
  <c r="S2" i="12"/>
  <c r="S3" i="12"/>
  <c r="S4" i="12"/>
  <c r="S5" i="12"/>
  <c r="H4" i="13"/>
  <c r="H27" i="13" s="1"/>
  <c r="W17" i="12"/>
  <c r="W18" i="12"/>
  <c r="W19" i="12"/>
  <c r="W20" i="12"/>
  <c r="F29" i="19" s="1"/>
  <c r="W21" i="12"/>
  <c r="F30" i="19" s="1"/>
  <c r="W22" i="12"/>
  <c r="F31" i="19" s="1"/>
  <c r="W23" i="12"/>
  <c r="W24" i="12"/>
  <c r="W25" i="12"/>
  <c r="W26" i="12"/>
  <c r="W27" i="12"/>
  <c r="W16" i="12"/>
  <c r="W15" i="12"/>
  <c r="W14" i="12"/>
  <c r="G4" i="13"/>
  <c r="G5" i="13" s="1"/>
  <c r="F4" i="13"/>
  <c r="F5" i="13" s="1"/>
  <c r="E4" i="13"/>
  <c r="E5" i="13" s="1"/>
  <c r="D4" i="13"/>
  <c r="D27" i="13" s="1"/>
  <c r="C4" i="13"/>
  <c r="J19" i="13" s="1"/>
  <c r="H3" i="13"/>
  <c r="G3" i="13"/>
  <c r="G10" i="13" s="1"/>
  <c r="G28" i="13" s="1"/>
  <c r="F3" i="13"/>
  <c r="E3" i="13"/>
  <c r="E10" i="13" s="1"/>
  <c r="E28" i="13" s="1"/>
  <c r="D3" i="13"/>
  <c r="D10" i="13" s="1"/>
  <c r="D28" i="13" s="1"/>
  <c r="C3" i="13"/>
  <c r="F33" i="19" l="1"/>
  <c r="M76" i="12"/>
  <c r="F32" i="19"/>
  <c r="M75" i="12"/>
  <c r="F36" i="19"/>
  <c r="M79" i="12"/>
  <c r="F35" i="19"/>
  <c r="M78" i="12"/>
  <c r="F34" i="19"/>
  <c r="M77" i="12"/>
  <c r="R21" i="12"/>
  <c r="H74" i="12"/>
  <c r="N19" i="13"/>
  <c r="AA19" i="13"/>
  <c r="AE19" i="13" s="1"/>
  <c r="AG19" i="13" s="1"/>
  <c r="L12" i="19"/>
  <c r="Y12" i="19"/>
  <c r="AC12" i="19" s="1"/>
  <c r="AE12" i="19" s="1"/>
  <c r="L15" i="19"/>
  <c r="Y15" i="19"/>
  <c r="AC15" i="19" s="1"/>
  <c r="AE15" i="19" s="1"/>
  <c r="L20" i="19"/>
  <c r="Y20" i="19"/>
  <c r="AC20" i="19" s="1"/>
  <c r="AE20" i="19" s="1"/>
  <c r="L17" i="19"/>
  <c r="Y17" i="19"/>
  <c r="AC17" i="19" s="1"/>
  <c r="AE17" i="19" s="1"/>
  <c r="H34" i="19"/>
  <c r="E80" i="12" s="1"/>
  <c r="J12" i="13"/>
  <c r="J11" i="13"/>
  <c r="J40" i="13"/>
  <c r="D86" i="12" s="1"/>
  <c r="J39" i="13"/>
  <c r="D85" i="12" s="1"/>
  <c r="J42" i="13"/>
  <c r="D88" i="12" s="1"/>
  <c r="J45" i="13"/>
  <c r="D91" i="12" s="1"/>
  <c r="J41" i="13"/>
  <c r="D87" i="12" s="1"/>
  <c r="J38" i="13"/>
  <c r="D84" i="12" s="1"/>
  <c r="J43" i="13"/>
  <c r="D89" i="12" s="1"/>
  <c r="J44" i="13"/>
  <c r="D90" i="12" s="1"/>
  <c r="J37" i="13"/>
  <c r="D83" i="12" s="1"/>
  <c r="J15" i="13"/>
  <c r="J17" i="13"/>
  <c r="J16" i="13"/>
  <c r="J31" i="13"/>
  <c r="D77" i="12" s="1"/>
  <c r="J13" i="13"/>
  <c r="H31" i="19"/>
  <c r="E77" i="12" s="1"/>
  <c r="J20" i="13"/>
  <c r="J14" i="13"/>
  <c r="J22" i="13"/>
  <c r="E30" i="19"/>
  <c r="H30" i="19" s="1"/>
  <c r="E76" i="12" s="1"/>
  <c r="E30" i="13"/>
  <c r="E35" i="19"/>
  <c r="E35" i="13"/>
  <c r="J35" i="13" s="1"/>
  <c r="D81" i="12" s="1"/>
  <c r="E32" i="19"/>
  <c r="H32" i="19" s="1"/>
  <c r="E78" i="12" s="1"/>
  <c r="E32" i="13"/>
  <c r="J32" i="13" s="1"/>
  <c r="D78" i="12" s="1"/>
  <c r="E18" i="19"/>
  <c r="H18" i="19" s="1"/>
  <c r="R9" i="12"/>
  <c r="E18" i="13"/>
  <c r="J18" i="13" s="1"/>
  <c r="E29" i="19"/>
  <c r="H29" i="19" s="1"/>
  <c r="E75" i="12" s="1"/>
  <c r="E29" i="13"/>
  <c r="E36" i="19"/>
  <c r="H36" i="19" s="1"/>
  <c r="E82" i="12" s="1"/>
  <c r="E36" i="13"/>
  <c r="J36" i="13" s="1"/>
  <c r="D82" i="12" s="1"/>
  <c r="E21" i="19"/>
  <c r="H21" i="19" s="1"/>
  <c r="R12" i="12"/>
  <c r="E21" i="13"/>
  <c r="J21" i="13" s="1"/>
  <c r="E33" i="19"/>
  <c r="H33" i="19" s="1"/>
  <c r="E79" i="12" s="1"/>
  <c r="E33" i="13"/>
  <c r="J33" i="13" s="1"/>
  <c r="D79" i="12" s="1"/>
  <c r="H5" i="13"/>
  <c r="G27" i="13"/>
  <c r="F27" i="13"/>
  <c r="E27" i="13"/>
  <c r="H10" i="13"/>
  <c r="H28" i="13" s="1"/>
  <c r="F10" i="13"/>
  <c r="F28" i="13" s="1"/>
  <c r="D5" i="13"/>
  <c r="V13" i="12"/>
  <c r="U7" i="12"/>
  <c r="V7" i="12"/>
  <c r="W7" i="12"/>
  <c r="U8" i="12"/>
  <c r="V8" i="12"/>
  <c r="W8" i="12"/>
  <c r="U9" i="12"/>
  <c r="V9" i="12"/>
  <c r="W9" i="12"/>
  <c r="U10" i="12"/>
  <c r="V10" i="12"/>
  <c r="W10" i="12"/>
  <c r="U11" i="12"/>
  <c r="V11" i="12"/>
  <c r="U12" i="12"/>
  <c r="V12" i="12"/>
  <c r="V6" i="12"/>
  <c r="W6" i="12"/>
  <c r="U6" i="12"/>
  <c r="S6" i="12"/>
  <c r="S7" i="12"/>
  <c r="S8" i="12"/>
  <c r="S9" i="12"/>
  <c r="S10" i="12"/>
  <c r="S11" i="12"/>
  <c r="S12" i="12"/>
  <c r="F29" i="13" s="1"/>
  <c r="S13" i="12"/>
  <c r="F30" i="13" s="1"/>
  <c r="H35" i="19" l="1"/>
  <c r="E81" i="12" s="1"/>
  <c r="N21" i="13"/>
  <c r="AA21" i="13"/>
  <c r="AE21" i="13" s="1"/>
  <c r="AG21" i="13" s="1"/>
  <c r="N22" i="13"/>
  <c r="AA22" i="13"/>
  <c r="AE22" i="13" s="1"/>
  <c r="AG22" i="13" s="1"/>
  <c r="N15" i="13"/>
  <c r="AA15" i="13"/>
  <c r="AE15" i="13" s="1"/>
  <c r="AG15" i="13" s="1"/>
  <c r="N18" i="13"/>
  <c r="AA18" i="13"/>
  <c r="AE18" i="13" s="1"/>
  <c r="AG18" i="13" s="1"/>
  <c r="N14" i="13"/>
  <c r="AA14" i="13"/>
  <c r="AE14" i="13" s="1"/>
  <c r="AG14" i="13" s="1"/>
  <c r="N20" i="13"/>
  <c r="AA20" i="13"/>
  <c r="AE20" i="13" s="1"/>
  <c r="AG20" i="13" s="1"/>
  <c r="N11" i="13"/>
  <c r="AA11" i="13"/>
  <c r="AE11" i="13" s="1"/>
  <c r="AG11" i="13" s="1"/>
  <c r="N12" i="13"/>
  <c r="AA12" i="13"/>
  <c r="AE12" i="13" s="1"/>
  <c r="AG12" i="13" s="1"/>
  <c r="N13" i="13"/>
  <c r="AA13" i="13"/>
  <c r="AE13" i="13" s="1"/>
  <c r="AG13" i="13" s="1"/>
  <c r="L21" i="19"/>
  <c r="Y21" i="19"/>
  <c r="AC21" i="19" s="1"/>
  <c r="AE21" i="19" s="1"/>
  <c r="J29" i="13"/>
  <c r="D75" i="12" s="1"/>
  <c r="N17" i="13"/>
  <c r="AA17" i="13"/>
  <c r="AE17" i="13" s="1"/>
  <c r="AG17" i="13" s="1"/>
  <c r="L18" i="19"/>
  <c r="Y18" i="19"/>
  <c r="AC18" i="19" s="1"/>
  <c r="AE18" i="19" s="1"/>
  <c r="N16" i="13"/>
  <c r="AA16" i="13"/>
  <c r="AE16" i="13" s="1"/>
  <c r="AG16" i="13" s="1"/>
  <c r="J30" i="13"/>
  <c r="D76" i="12" s="1"/>
  <c r="H23" i="19"/>
  <c r="L23" i="19" s="1"/>
  <c r="H27" i="19"/>
  <c r="J23" i="13"/>
  <c r="N23" i="13" s="1"/>
  <c r="AG11" i="19" l="1"/>
  <c r="AI11" i="19" s="1"/>
  <c r="AK11" i="19" s="1"/>
  <c r="AI11" i="13"/>
  <c r="AK11" i="13" s="1"/>
  <c r="AM11" i="13" s="1"/>
  <c r="AM14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NAVIN Natalia</author>
    <author>KLING Eloi</author>
  </authors>
  <commentList>
    <comment ref="I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NAVIN Natalia:</t>
        </r>
        <r>
          <rPr>
            <sz val="9"/>
            <color indexed="81"/>
            <rFont val="Tahoma"/>
            <family val="2"/>
          </rPr>
          <t xml:space="preserve">
BdP https://bpstat.bportugal.pt/conteudos/noticias/1299</t>
        </r>
      </text>
    </comment>
    <comment ref="J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NAVIN Natalia:</t>
        </r>
        <r>
          <rPr>
            <sz val="9"/>
            <color indexed="81"/>
            <rFont val="Tahoma"/>
            <family val="2"/>
          </rPr>
          <t xml:space="preserve">
OCDE https://data-explorer.oecd.org/vis?lc=en&amp;df[ds]=DisseminateArchiveDMZ&amp;df[id]=DF_DP_LIVE&amp;df[ag]=OECD&amp;df[vs]=&amp;av=true&amp;pd=2019-01%2C2025-12&amp;dq=PRT.HUR...M&amp;to[TIME_PERIOD]=false&amp;vw=tb
BDP: https://bpstat.bportugal.pt/dados/series?mode=graphic&amp;svid=bpNXAAAAAAA.!l!B!C!10!!!False!12!:1htU5U:uXqymudu6qRPf7U5wshT2GiSXP0&amp;series=5739374</t>
        </r>
      </text>
    </comment>
    <comment ref="K1" authorId="1" shapeId="0" xr:uid="{697D6BB7-DDD9-44AD-B55B-2BB47227F200}">
      <text>
        <r>
          <rPr>
            <b/>
            <sz val="9"/>
            <color indexed="81"/>
            <rFont val="Tahoma"/>
            <family val="2"/>
          </rPr>
          <t>KLING Eloi:
https://www.ecb.europa.eu/stats/financial_markets_and_interest_rates/long_term_interest_rates/html/index.en.html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1" shapeId="0" xr:uid="{4C997F8A-21CB-46E4-B42B-5D2CF0609F33}">
      <text>
        <r>
          <rPr>
            <b/>
            <sz val="9"/>
            <color indexed="81"/>
            <rFont val="Tahoma"/>
            <family val="2"/>
          </rPr>
          <t>KLING Eloi:</t>
        </r>
        <r>
          <rPr>
            <sz val="9"/>
            <color indexed="81"/>
            <rFont val="Tahoma"/>
            <family val="2"/>
          </rPr>
          <t xml:space="preserve">
https://www.oecd.org/fr/data/indicators/short-term-interest-rates.html?oecdcontrol-e4e765a1a9-var1=PRT&amp;oecdcontrol-4c072e451c-var3=2025-08&amp;oecdcontrol-4c072e451c-var5=M</t>
        </r>
      </text>
    </comment>
    <comment ref="T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NAVIN Natalia:</t>
        </r>
        <r>
          <rPr>
            <sz val="9"/>
            <color indexed="81"/>
            <rFont val="Tahoma"/>
            <family val="2"/>
          </rPr>
          <t xml:space="preserve">
https://data-explorer.oecd.org/vis?lc=en&amp;df[ds]=DisseminateArchiveDMZ&amp;df[id]=DF_DP_LIVE&amp;df[ag]=OECD&amp;df[vs]=&amp;av=true&amp;pd=2022-Q1%2C2025-Q4&amp;dq=PRT.UNEMPFORECAST...Q&amp;to[TIME_PERIOD]=false&amp;vw=tb</t>
        </r>
      </text>
    </comment>
    <comment ref="V1" authorId="0" shapeId="0" xr:uid="{56491044-BCB9-451E-935E-CE867629C9C5}">
      <text>
        <r>
          <rPr>
            <b/>
            <sz val="9"/>
            <color indexed="81"/>
            <rFont val="Tahoma"/>
            <family val="2"/>
          </rPr>
          <t>NAVIN Natalia:</t>
        </r>
        <r>
          <rPr>
            <sz val="9"/>
            <color indexed="81"/>
            <rFont val="Tahoma"/>
            <family val="2"/>
          </rPr>
          <t xml:space="preserve">
https://www.oecd.org/en/data/indicators/short-term-interest-rates-forecast.html?oecdcontrol-68a15c79cc-var3=1971-Q1&amp;oecdcontrol-68a15c79cc-var4=2025-Q4&amp;oecdcontrol-68a15c79cc-var5=Q</t>
        </r>
      </text>
    </comment>
    <comment ref="T28" authorId="0" shapeId="0" xr:uid="{27E7CE7F-B955-4D15-B809-1C874BDDFFA8}">
      <text>
        <r>
          <rPr>
            <b/>
            <sz val="9"/>
            <color rgb="FF000000"/>
            <rFont val="Tahoma"/>
            <family val="2"/>
          </rPr>
          <t>NAVIN Natalia: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de acordo com o BE do BdP</t>
        </r>
      </text>
    </comment>
  </commentList>
</comments>
</file>

<file path=xl/sharedStrings.xml><?xml version="1.0" encoding="utf-8"?>
<sst xmlns="http://schemas.openxmlformats.org/spreadsheetml/2006/main" count="499" uniqueCount="305">
  <si>
    <t>DATE</t>
  </si>
  <si>
    <t>GDP</t>
  </si>
  <si>
    <t>Inflation</t>
  </si>
  <si>
    <t>Unemployment_Rate</t>
  </si>
  <si>
    <t>LT_Interest_Rate</t>
  </si>
  <si>
    <t>ST_Interest_Rate</t>
  </si>
  <si>
    <t>Euribor1year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</si>
  <si>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</si>
  <si>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</si>
  <si>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</si>
  <si>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</si>
  <si>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</si>
  <si>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</si>
  <si>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</si>
  <si>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</si>
  <si>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</si>
  <si>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</si>
  <si>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</si>
  <si>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</si>
  <si>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</si>
  <si>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</si>
  <si>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</si>
  <si>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Idmes</t>
  </si>
  <si>
    <t>Quarter</t>
  </si>
  <si>
    <t>2025-Q1</t>
  </si>
  <si>
    <t>2025-Q2</t>
  </si>
  <si>
    <t>2025-Q3</t>
  </si>
  <si>
    <t>2025-Q4</t>
  </si>
  <si>
    <t>2024-Q4</t>
  </si>
  <si>
    <t>Parâmetros</t>
  </si>
  <si>
    <t>t</t>
  </si>
  <si>
    <t>intercept</t>
  </si>
  <si>
    <t>Baseline Projection</t>
  </si>
  <si>
    <t>2024-Q1</t>
  </si>
  <si>
    <t>2024-Q2</t>
  </si>
  <si>
    <t>2024-Q3</t>
  </si>
  <si>
    <t>Efeito TD12M_Autopor</t>
  </si>
  <si>
    <t>Linear Regression Results</t>
  </si>
  <si>
    <t>The REG Procedure</t>
  </si>
  <si>
    <t>Model: Linear_Regression_Model</t>
  </si>
  <si>
    <t>Number of Observations Read</t>
  </si>
  <si>
    <t>Number of Observations Used</t>
  </si>
  <si>
    <t>Analysis of Variance</t>
  </si>
  <si>
    <t>Source</t>
  </si>
  <si>
    <t>DF</t>
  </si>
  <si>
    <t>Sum of</t>
  </si>
  <si>
    <t>Squares</t>
  </si>
  <si>
    <t>Mean</t>
  </si>
  <si>
    <t>Square</t>
  </si>
  <si>
    <t>F Value</t>
  </si>
  <si>
    <t>Pr &gt; F</t>
  </si>
  <si>
    <t>Model</t>
  </si>
  <si>
    <t>Error</t>
  </si>
  <si>
    <t>Corrected Total</t>
  </si>
  <si>
    <t>Root MSE</t>
  </si>
  <si>
    <t>R-Square</t>
  </si>
  <si>
    <t>Dependent Mean</t>
  </si>
  <si>
    <t>Adj R-Sq</t>
  </si>
  <si>
    <t>Coeff Var</t>
  </si>
  <si>
    <t>Parameter Estimates</t>
  </si>
  <si>
    <t>Variable</t>
  </si>
  <si>
    <t>Parameter</t>
  </si>
  <si>
    <t>Estimate</t>
  </si>
  <si>
    <t>Standard</t>
  </si>
  <si>
    <t>t Value</t>
  </si>
  <si>
    <t>Pr &gt; |t|</t>
  </si>
  <si>
    <t>Intercept</t>
  </si>
  <si>
    <t>Correlation of Estimates</t>
  </si>
  <si>
    <t>Test of First and Second</t>
  </si>
  <si>
    <t>Moment Specification</t>
  </si>
  <si>
    <t>Chi-Square</t>
  </si>
  <si>
    <t>Pr &gt; ChiSq</t>
  </si>
  <si>
    <t>Durbin-Watson D</t>
  </si>
  <si>
    <t>Number of Observations</t>
  </si>
  <si>
    <t>1st Order Autocorrelation</t>
  </si>
  <si>
    <t xml:space="preserve">Backtesting </t>
  </si>
  <si>
    <t>&lt;,0001</t>
  </si>
  <si>
    <t>2024-3</t>
  </si>
  <si>
    <t>2024-4</t>
  </si>
  <si>
    <t>2024-5</t>
  </si>
  <si>
    <t>2024-6</t>
  </si>
  <si>
    <t>2024-7</t>
  </si>
  <si>
    <t>2024-8</t>
  </si>
  <si>
    <t>2024-9</t>
  </si>
  <si>
    <t>GDP_9</t>
  </si>
  <si>
    <t>TD12M Projected</t>
  </si>
  <si>
    <t>EURIBOR Forecast By Month.</t>
  </si>
  <si>
    <t>Month</t>
  </si>
  <si>
    <t>Open</t>
  </si>
  <si>
    <t>Low-High,%%</t>
  </si>
  <si>
    <t>Rate,%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</si>
  <si>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</si>
  <si>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</si>
  <si>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</si>
  <si>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</si>
  <si>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</si>
  <si>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</si>
  <si>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</si>
  <si>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</si>
  <si>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</si>
  <si>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</si>
  <si>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</si>
  <si>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</si>
  <si>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Tot,Ch</t>
  </si>
  <si>
    <t>2,339-2,704</t>
  </si>
  <si>
    <t>2,154-2,636</t>
  </si>
  <si>
    <t>2,196-2,485</t>
  </si>
  <si>
    <t>2,064-2,336</t>
  </si>
  <si>
    <t>1,940-2,196</t>
  </si>
  <si>
    <t>1,839-2,073</t>
  </si>
  <si>
    <t>1,773-1,999</t>
  </si>
  <si>
    <t>1,780-2,008</t>
  </si>
  <si>
    <t>1,794-2,022</t>
  </si>
  <si>
    <t>1,755-1,979</t>
  </si>
  <si>
    <t>1,733-1,955</t>
  </si>
  <si>
    <t>1,763-1,988</t>
  </si>
  <si>
    <t>1,657-1,875</t>
  </si>
  <si>
    <t>1,606-1,810</t>
  </si>
  <si>
    <t>1,539-1,735</t>
  </si>
  <si>
    <t>1,527-1,721</t>
  </si>
  <si>
    <t>1,541-1,737</t>
  </si>
  <si>
    <t>1,514-1,708</t>
  </si>
  <si>
    <t>1,496-1,686</t>
  </si>
  <si>
    <t>1,518-1,712</t>
  </si>
  <si>
    <t>1,491-1,681</t>
  </si>
  <si>
    <t>1,449-1,635</t>
  </si>
  <si>
    <t>1,417-1,597</t>
  </si>
  <si>
    <t>1,403-1,583</t>
  </si>
  <si>
    <t>1,346-1,518</t>
  </si>
  <si>
    <r>
      <t>Updated: </t>
    </r>
    <r>
      <rPr>
        <b/>
        <sz val="7"/>
        <color rgb="FF000000"/>
        <rFont val="Arial"/>
        <family val="2"/>
      </rPr>
      <t>2024/11/22.</t>
    </r>
  </si>
  <si>
    <t>EURIBOR FORECAST 2024, 2025, 2026 - Long Forecast</t>
  </si>
  <si>
    <t>TD12M estimated</t>
  </si>
  <si>
    <t>TD12M observed (real)</t>
  </si>
  <si>
    <t>2024-1</t>
  </si>
  <si>
    <t>2024-2</t>
  </si>
  <si>
    <t>2023-12</t>
  </si>
  <si>
    <t>2023-11</t>
  </si>
  <si>
    <t>Tot.Ch</t>
  </si>
  <si>
    <t>1.920-2.192</t>
  </si>
  <si>
    <t>1.900-2.279</t>
  </si>
  <si>
    <t>1.950-2.198</t>
  </si>
  <si>
    <t>1.933-2.179</t>
  </si>
  <si>
    <t>1.971-2.223</t>
  </si>
  <si>
    <t>1.853-2.097</t>
  </si>
  <si>
    <t>1.785-2.013</t>
  </si>
  <si>
    <t>1.697-1.913</t>
  </si>
  <si>
    <t>1.685-1.901</t>
  </si>
  <si>
    <t>1.681-1.895</t>
  </si>
  <si>
    <t>1.624-1.832</t>
  </si>
  <si>
    <t>1.527-1.728</t>
  </si>
  <si>
    <t>1.435-1.624</t>
  </si>
  <si>
    <t>1.349-1.527</t>
  </si>
  <si>
    <t>1.278-1.442</t>
  </si>
  <si>
    <t>1.232-1.390</t>
  </si>
  <si>
    <t>1.237-1.395</t>
  </si>
  <si>
    <t>1.246-1.406</t>
  </si>
  <si>
    <t>1.220-1.376</t>
  </si>
  <si>
    <t>1.205-1.359</t>
  </si>
  <si>
    <t>1.226-1.382</t>
  </si>
  <si>
    <t>1.152-1.304</t>
  </si>
  <si>
    <t>1.117-1.259</t>
  </si>
  <si>
    <t>1.071-1.207</t>
  </si>
  <si>
    <t>1.062-1.198</t>
  </si>
  <si>
    <r>
      <t>Updated: </t>
    </r>
    <r>
      <rPr>
        <b/>
        <sz val="7"/>
        <color rgb="FF000000"/>
        <rFont val="Arial"/>
        <family val="2"/>
      </rPr>
      <t>2025/08/19.</t>
    </r>
  </si>
  <si>
    <t>updated version</t>
  </si>
  <si>
    <t>2026-1</t>
  </si>
  <si>
    <t>2026-2</t>
  </si>
  <si>
    <t>2026-3</t>
  </si>
  <si>
    <t>2026-4</t>
  </si>
  <si>
    <t>2026-5</t>
  </si>
  <si>
    <t>2026-6</t>
  </si>
  <si>
    <t>2026-7</t>
  </si>
  <si>
    <t>2026-8</t>
  </si>
  <si>
    <t>2026-9</t>
  </si>
  <si>
    <t>2026-10</t>
  </si>
  <si>
    <t>2026-11</t>
  </si>
  <si>
    <t>2026-12</t>
  </si>
  <si>
    <t>2026-Q1</t>
  </si>
  <si>
    <t>2026-Q2</t>
  </si>
  <si>
    <t>2026-Q3</t>
  </si>
  <si>
    <t>2026-Q4</t>
  </si>
  <si>
    <t>Quarterly real GDP growth - OECD countries</t>
  </si>
  <si>
    <r>
      <t>Frequency of observation:</t>
    </r>
    <r>
      <rPr>
        <b/>
        <sz val="7"/>
        <color rgb="FF494444"/>
        <rFont val="Arial"/>
        <family val="2"/>
      </rPr>
      <t> </t>
    </r>
  </si>
  <si>
    <t>Quarterly</t>
  </si>
  <si>
    <r>
      <t>Reference area:</t>
    </r>
    <r>
      <rPr>
        <b/>
        <sz val="7"/>
        <color rgb="FF494444"/>
        <rFont val="Arial"/>
        <family val="2"/>
      </rPr>
      <t> </t>
    </r>
  </si>
  <si>
    <t>Portugal</t>
  </si>
  <si>
    <r>
      <t>Combined transaction:</t>
    </r>
    <r>
      <rPr>
        <b/>
        <sz val="7"/>
        <color rgb="FF494444"/>
        <rFont val="Arial"/>
        <family val="2"/>
      </rPr>
      <t> </t>
    </r>
  </si>
  <si>
    <t>Gross domestic product, Total economy</t>
  </si>
  <si>
    <r>
      <t>Combined unit of measure:</t>
    </r>
    <r>
      <rPr>
        <b/>
        <sz val="7"/>
        <color rgb="FF494444"/>
        <rFont val="Arial"/>
        <family val="2"/>
      </rPr>
      <t> </t>
    </r>
  </si>
  <si>
    <t>Growth rate, period on period, Chain linked volume, Calendar and seasonally adjusted</t>
  </si>
  <si>
    <t>Time period</t>
  </si>
  <si>
    <t>2019-Q1</t>
  </si>
  <si>
    <t>0.9</t>
  </si>
  <si>
    <t>2019-Q2</t>
  </si>
  <si>
    <t>0.6</t>
  </si>
  <si>
    <t>2019-Q3</t>
  </si>
  <si>
    <t>0.4</t>
  </si>
  <si>
    <t>2019-Q4</t>
  </si>
  <si>
    <t>0.8</t>
  </si>
  <si>
    <t>2020-Q1</t>
  </si>
  <si>
    <t>-4.2</t>
  </si>
  <si>
    <t>2020-Q2</t>
  </si>
  <si>
    <t>-15.0</t>
  </si>
  <si>
    <t>2020-Q3</t>
  </si>
  <si>
    <t>14.4</t>
  </si>
  <si>
    <t>2020-Q4</t>
  </si>
  <si>
    <t>0.2</t>
  </si>
  <si>
    <t>2021-Q1</t>
  </si>
  <si>
    <t>-2.8</t>
  </si>
  <si>
    <t>2021-Q2</t>
  </si>
  <si>
    <t>4.6</t>
  </si>
  <si>
    <t>2021-Q3</t>
  </si>
  <si>
    <t>3.6</t>
  </si>
  <si>
    <t>2021-Q4</t>
  </si>
  <si>
    <t>1.9</t>
  </si>
  <si>
    <t>2022-Q1</t>
  </si>
  <si>
    <t>1.7</t>
  </si>
  <si>
    <t>2022-Q2</t>
  </si>
  <si>
    <t>2022-Q3</t>
  </si>
  <si>
    <t>1.0</t>
  </si>
  <si>
    <t>2022-Q4</t>
  </si>
  <si>
    <t>0.5</t>
  </si>
  <si>
    <t>2023-Q1</t>
  </si>
  <si>
    <r>
      <t>P</t>
    </r>
    <r>
      <rPr>
        <sz val="7"/>
        <color rgb="FF182026"/>
        <rFont val="Arial"/>
        <family val="2"/>
      </rPr>
      <t>1.4</t>
    </r>
  </si>
  <si>
    <t>2023-Q2</t>
  </si>
  <si>
    <r>
      <t>P</t>
    </r>
    <r>
      <rPr>
        <sz val="7"/>
        <color rgb="FF182026"/>
        <rFont val="Arial"/>
        <family val="2"/>
      </rPr>
      <t>0.2</t>
    </r>
  </si>
  <si>
    <t>2023-Q3</t>
  </si>
  <si>
    <r>
      <t>P</t>
    </r>
    <r>
      <rPr>
        <sz val="7"/>
        <color rgb="FF182026"/>
        <rFont val="Arial"/>
        <family val="2"/>
      </rPr>
      <t>-0.1</t>
    </r>
  </si>
  <si>
    <t>2023-Q4</t>
  </si>
  <si>
    <r>
      <t>P</t>
    </r>
    <r>
      <rPr>
        <sz val="7"/>
        <color rgb="FF182026"/>
        <rFont val="Arial"/>
        <family val="2"/>
      </rPr>
      <t>0.6</t>
    </r>
  </si>
  <si>
    <r>
      <t>P</t>
    </r>
    <r>
      <rPr>
        <sz val="7"/>
        <color rgb="FF182026"/>
        <rFont val="Arial"/>
        <family val="2"/>
      </rPr>
      <t>0.4</t>
    </r>
  </si>
  <si>
    <r>
      <t>P</t>
    </r>
    <r>
      <rPr>
        <sz val="7"/>
        <color rgb="FF182026"/>
        <rFont val="Arial"/>
        <family val="2"/>
      </rPr>
      <t>-0.4</t>
    </r>
  </si>
  <si>
    <t>OECD Data Explorer • Quarterly real GDP growth - OECD countries</t>
  </si>
  <si>
    <t>(DSD_EO@DF_EO) Economic Outlook 117</t>
  </si>
  <si>
    <r>
      <t>(REF_AREA) Reference area:</t>
    </r>
    <r>
      <rPr>
        <b/>
        <sz val="7"/>
        <color rgb="FF494444"/>
        <rFont val="Arial"/>
        <family val="2"/>
      </rPr>
      <t> </t>
    </r>
  </si>
  <si>
    <t>(PRT) Portugal</t>
  </si>
  <si>
    <r>
      <t>(MEASURE) Measure:</t>
    </r>
    <r>
      <rPr>
        <b/>
        <sz val="7"/>
        <color rgb="FF494444"/>
        <rFont val="Arial"/>
        <family val="2"/>
      </rPr>
      <t> </t>
    </r>
  </si>
  <si>
    <r>
      <t>(FREQ) Frequency of observation:</t>
    </r>
    <r>
      <rPr>
        <b/>
        <sz val="7"/>
        <color rgb="FF494444"/>
        <rFont val="Arial"/>
        <family val="2"/>
      </rPr>
      <t> </t>
    </r>
  </si>
  <si>
    <t>(Q) Quarterly</t>
  </si>
  <si>
    <r>
      <t>(COMBINED_UNIT_MEASURE) Combined unit of measure:</t>
    </r>
    <r>
      <rPr>
        <b/>
        <sz val="7"/>
        <color rgb="FF494444"/>
        <rFont val="Arial"/>
        <family val="2"/>
      </rPr>
      <t> </t>
    </r>
  </si>
  <si>
    <t>(TIME_PERIOD) Time period</t>
  </si>
  <si>
    <t>(2025-Q1) 2025-Q1</t>
  </si>
  <si>
    <t>(2025-Q2) 2025-Q2</t>
  </si>
  <si>
    <t>(2025-Q3) 2025-Q3</t>
  </si>
  <si>
    <t>(2025-Q4) 2025-Q4</t>
  </si>
  <si>
    <t>(2026-Q1) 2026-Q1</t>
  </si>
  <si>
    <t>(2026-Q2) 2026-Q2</t>
  </si>
  <si>
    <t>(2026-Q3) 2026-Q3</t>
  </si>
  <si>
    <t>(2026-Q4) 2026-Q4</t>
  </si>
  <si>
    <t>forecast</t>
  </si>
  <si>
    <t>(GDPV_ANNPCT) Gross domestic product, volume, growth</t>
  </si>
  <si>
    <t>(PA, 2021) Percent per annum, 2021</t>
  </si>
  <si>
    <t>(2019-Q1) 2019-Q1</t>
  </si>
  <si>
    <t>(2019-Q2) 2019-Q2</t>
  </si>
  <si>
    <t>(2019-Q3) 2019-Q3</t>
  </si>
  <si>
    <t>(2019-Q4) 2019-Q4</t>
  </si>
  <si>
    <t>(2020-Q1) 2020-Q1</t>
  </si>
  <si>
    <t>(2020-Q2) 2020-Q2</t>
  </si>
  <si>
    <t>(2020-Q3) 2020-Q3</t>
  </si>
  <si>
    <t>(2020-Q4) 2020-Q4</t>
  </si>
  <si>
    <t>(2021-Q1) 2021-Q1</t>
  </si>
  <si>
    <t>(2021-Q2) 2021-Q2</t>
  </si>
  <si>
    <t>(2021-Q3) 2021-Q3</t>
  </si>
  <si>
    <t>(2021-Q4) 2021-Q4</t>
  </si>
  <si>
    <t>(2022-Q1) 2022-Q1</t>
  </si>
  <si>
    <t>(2022-Q2) 2022-Q2</t>
  </si>
  <si>
    <t>(2022-Q3) 2022-Q3</t>
  </si>
  <si>
    <t>(2022-Q4) 2022-Q4</t>
  </si>
  <si>
    <t>(2023-Q1) 2023-Q1</t>
  </si>
  <si>
    <t>(2023-Q2) 2023-Q2</t>
  </si>
  <si>
    <t>(2023-Q3) 2023-Q3</t>
  </si>
  <si>
    <t>(2023-Q4) 2023-Q4</t>
  </si>
  <si>
    <t>(2024-Q1) 2024-Q1</t>
  </si>
  <si>
    <t>(2024-Q2) 2024-Q2</t>
  </si>
  <si>
    <t>(2024-Q3) 2024-Q3</t>
  </si>
  <si>
    <t>(2024-Q4) 2024-Q4</t>
  </si>
  <si>
    <t>OECD Data Explorer • Economic Outlook 117</t>
  </si>
  <si>
    <t>ST_Interest_RateE3m</t>
  </si>
  <si>
    <t>Inflation_11</t>
  </si>
  <si>
    <t>LT_Interest_Rate_8</t>
  </si>
  <si>
    <t>LT_Interest_Rate_6</t>
  </si>
  <si>
    <t>Dependent Variable: TD_12M_Consolidado </t>
  </si>
  <si>
    <t>Generated by the SAS System ('SASMain', X64_SRV19) on August 29, 2025 at 12:54:30 AM</t>
  </si>
  <si>
    <t>CONSOLIDADO</t>
  </si>
  <si>
    <t>Euribor1year_3</t>
  </si>
  <si>
    <t>Generated by the SAS System ('SASMain', X64_SRV19) on August 29, 2025 at 12:37:31 PM</t>
  </si>
  <si>
    <t>Ithy - Comprendre les Métriques de Régression : MAE, MSE, RMSE et R²</t>
  </si>
  <si>
    <t>Metric to estimate the error of the model:</t>
  </si>
  <si>
    <t>MSE</t>
  </si>
  <si>
    <t>RMSE</t>
  </si>
  <si>
    <t>Difference</t>
  </si>
  <si>
    <t>power 2</t>
  </si>
  <si>
    <t>Sum</t>
  </si>
  <si>
    <t>link of explanation</t>
  </si>
  <si>
    <t>pas d'infos donc choix délibéré de mettre égal au mois d'avant</t>
  </si>
  <si>
    <t>idem</t>
  </si>
  <si>
    <t>Bananas</t>
  </si>
  <si>
    <t>Bananas s/prod22</t>
  </si>
  <si>
    <t>Proj_Bananas</t>
  </si>
  <si>
    <t>Proj_Bananas 2</t>
  </si>
  <si>
    <t>Proj_Bananas_Eloi</t>
  </si>
  <si>
    <t>Bananas actuel</t>
  </si>
  <si>
    <t>Valeurs réelles</t>
  </si>
  <si>
    <t>Valeurs prédites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</si>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</sst>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* #,##0.00_-;\-* #,##0.00_-;_-* &quot;-&quot;??_-;_-@_-"/>
    <numFmt numFmtId="167" formatCode="0.000%"/>
    <numFmt numFmtId="168" formatCode="_-* #,##0\ _€_-;\-* #,##0\ _€_-;_-* &quot;-&quot;??\ _€_-;_-@_-"/>
    <numFmt numFmtId="169" formatCode="0.000"/>
    <numFmt numFmtId="170" formatCode="_-* #,##0.000_-;\-* #,##0.000_-;_-* &quot;-&quot;??_-;_-@_-"/>
    <numFmt numFmtId="171" formatCode="0.0"/>
    <numFmt numFmtId="172" formatCode="0.0000"/>
    <numFmt numFmtId="173" formatCode="0.00000"/>
    <numFmt numFmtId="174" formatCode="0.0%"/>
    <numFmt numFmtId="180" formatCode="0.0000000"/>
    <numFmt numFmtId="183" formatCode="0.0000000000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82026"/>
      <name val="Arial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i/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theme="7" tint="-0.499984740745262"/>
      <name val="Calibri"/>
      <family val="2"/>
    </font>
    <font>
      <sz val="11"/>
      <color theme="7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sz val="7"/>
      <color rgb="FF182026"/>
      <name val="Arial"/>
      <family val="2"/>
    </font>
    <font>
      <b/>
      <sz val="9"/>
      <color rgb="FF494444"/>
      <name val="Times New Roman"/>
      <family val="1"/>
    </font>
    <font>
      <sz val="7"/>
      <color rgb="FF494444"/>
      <name val="Arial"/>
      <family val="2"/>
    </font>
    <font>
      <b/>
      <sz val="7"/>
      <color rgb="FF494444"/>
      <name val="Arial"/>
      <family val="2"/>
    </font>
    <font>
      <b/>
      <i/>
      <sz val="7"/>
      <color rgb="FF494444"/>
      <name val="Arial"/>
      <family val="2"/>
    </font>
    <font>
      <b/>
      <i/>
      <sz val="7"/>
      <color rgb="FF182026"/>
      <name val="Arial"/>
      <family val="2"/>
    </font>
    <font>
      <b/>
      <sz val="7"/>
      <color rgb="FF182026"/>
      <name val="Arial"/>
      <family val="2"/>
    </font>
    <font>
      <b/>
      <sz val="5"/>
      <color rgb="FF444444"/>
      <name val="Arial"/>
      <family val="2"/>
    </font>
    <font>
      <b/>
      <sz val="10"/>
      <color rgb="FF112277"/>
      <name val="Arial"/>
      <family val="2"/>
    </font>
    <font>
      <b/>
      <sz val="12"/>
      <color rgb="FF112277"/>
      <name val="Arial"/>
      <family val="2"/>
    </font>
    <font>
      <sz val="10"/>
      <color rgb="FF112277"/>
      <name val="Arial"/>
      <family val="2"/>
    </font>
    <font>
      <sz val="10"/>
      <color rgb="FFFF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6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EF4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 style="medium">
        <color rgb="FFB0B7BB"/>
      </right>
      <top/>
      <bottom/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 style="medium">
        <color rgb="FFB0B7BB"/>
      </right>
      <top/>
      <bottom style="medium">
        <color rgb="FFB0B7BB"/>
      </bottom>
      <diagonal/>
    </border>
    <border>
      <left/>
      <right/>
      <top/>
      <bottom style="medium">
        <color rgb="FFB0B7BB"/>
      </bottom>
      <diagonal/>
    </border>
    <border>
      <left/>
      <right/>
      <top/>
      <bottom style="medium">
        <color rgb="FFC1C1C1"/>
      </bottom>
      <diagonal/>
    </border>
    <border>
      <left style="medium">
        <color rgb="FFC1C1C1"/>
      </left>
      <right style="medium">
        <color rgb="FFB0B7BB"/>
      </right>
      <top/>
      <bottom/>
      <diagonal/>
    </border>
    <border>
      <left/>
      <right style="medium">
        <color rgb="FFC1C1C1"/>
      </right>
      <top/>
      <bottom/>
      <diagonal/>
    </border>
    <border>
      <left style="medium">
        <color rgb="FFB0B7BB"/>
      </left>
      <right style="medium">
        <color rgb="FFB0B7BB"/>
      </right>
      <top/>
      <bottom style="medium">
        <color rgb="FFB0B7BB"/>
      </bottom>
      <diagonal/>
    </border>
    <border>
      <left style="medium">
        <color rgb="FFB0B7BB"/>
      </left>
      <right/>
      <top/>
      <bottom style="medium">
        <color rgb="FFB0B7BB"/>
      </bottom>
      <diagonal/>
    </border>
    <border>
      <left style="medium">
        <color rgb="FFC1C1C1"/>
      </left>
      <right style="medium">
        <color rgb="FFB0B7BB"/>
      </right>
      <top style="medium">
        <color rgb="FFC1C1C1"/>
      </top>
      <bottom style="medium">
        <color rgb="FFB0B7BB"/>
      </bottom>
      <diagonal/>
    </border>
    <border>
      <left/>
      <right/>
      <top style="medium">
        <color rgb="FFC1C1C1"/>
      </top>
      <bottom style="medium">
        <color rgb="FFC1C1C1"/>
      </bottom>
      <diagonal/>
    </border>
    <border>
      <left style="medium">
        <color rgb="FFC1C1C1"/>
      </left>
      <right/>
      <top style="medium">
        <color rgb="FFC1C1C1"/>
      </top>
      <bottom style="medium">
        <color rgb="FFB0B7BB"/>
      </bottom>
      <diagonal/>
    </border>
    <border>
      <left/>
      <right/>
      <top style="medium">
        <color rgb="FFC1C1C1"/>
      </top>
      <bottom style="medium">
        <color rgb="FFB0B7BB"/>
      </bottom>
      <diagonal/>
    </border>
    <border>
      <left style="medium">
        <color rgb="FFC1C1C1"/>
      </left>
      <right style="medium">
        <color rgb="FFB0B7BB"/>
      </right>
      <top style="medium">
        <color rgb="FFB0B7BB"/>
      </top>
      <bottom/>
      <diagonal/>
    </border>
    <border>
      <left style="medium">
        <color rgb="FFB0B7BB"/>
      </left>
      <right style="medium">
        <color rgb="FFB0B7BB"/>
      </right>
      <top style="medium">
        <color rgb="FFB0B7BB"/>
      </top>
      <bottom/>
      <diagonal/>
    </border>
    <border>
      <left style="medium">
        <color rgb="FFB0B7BB"/>
      </left>
      <right/>
      <top style="medium">
        <color rgb="FFB0B7BB"/>
      </top>
      <bottom/>
      <diagonal/>
    </border>
    <border>
      <left/>
      <right style="medium">
        <color rgb="FFC1C1C1"/>
      </right>
      <top style="medium">
        <color rgb="FFC1C1C1"/>
      </top>
      <bottom style="medium">
        <color rgb="FFC1C1C1"/>
      </bottom>
      <diagonal/>
    </border>
    <border>
      <left/>
      <right style="medium">
        <color rgb="FFB0B7BB"/>
      </right>
      <top style="medium">
        <color rgb="FFC1C1C1"/>
      </top>
      <bottom style="medium">
        <color rgb="FFB0B7BB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 style="medium">
        <color rgb="FFC1C1C1"/>
      </left>
      <right/>
      <top/>
      <bottom style="medium">
        <color rgb="FFB0B7BB"/>
      </bottom>
      <diagonal/>
    </border>
    <border>
      <left style="medium">
        <color rgb="FFC1C1C1"/>
      </left>
      <right style="medium">
        <color rgb="FFC1C1C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20" fillId="0" borderId="0" applyNumberFormat="0" applyFill="0" applyBorder="0" applyAlignment="0" applyProtection="0"/>
  </cellStyleXfs>
  <cellXfs count="193">
    <xf numFmtId="0" fontId="0" fillId="0" borderId="0" xfId="0"/>
    <xf numFmtId="0" fontId="2" fillId="2" borderId="0" xfId="0" applyFont="1" applyFill="1"/>
    <xf numFmtId="166" fontId="0" fillId="0" borderId="0" xfId="1" applyFont="1"/>
    <xf numFmtId="166" fontId="0" fillId="0" borderId="0" xfId="1" applyFont="1" applyFill="1"/>
    <xf numFmtId="166" fontId="2" fillId="3" borderId="0" xfId="1" applyFont="1" applyFill="1"/>
    <xf numFmtId="0" fontId="5" fillId="0" borderId="0" xfId="0" applyFont="1"/>
    <xf numFmtId="0" fontId="8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2" borderId="0" xfId="0" applyFont="1" applyFill="1"/>
    <xf numFmtId="0" fontId="12" fillId="0" borderId="0" xfId="0" applyFont="1"/>
    <xf numFmtId="0" fontId="12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3" fillId="7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2" fillId="0" borderId="0" xfId="2" applyNumberFormat="1" applyFont="1" applyFill="1" applyProtection="1"/>
    <xf numFmtId="0" fontId="13" fillId="7" borderId="2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167" fontId="0" fillId="0" borderId="0" xfId="2" applyNumberFormat="1" applyFont="1" applyFill="1" applyAlignment="1" applyProtection="1">
      <alignment vertical="center"/>
    </xf>
    <xf numFmtId="0" fontId="0" fillId="0" borderId="0" xfId="0" applyAlignment="1">
      <alignment horizontal="right"/>
    </xf>
    <xf numFmtId="167" fontId="0" fillId="0" borderId="0" xfId="2" applyNumberFormat="1" applyFont="1" applyFill="1" applyBorder="1" applyAlignment="1" applyProtection="1">
      <alignment vertical="center"/>
    </xf>
    <xf numFmtId="167" fontId="0" fillId="0" borderId="0" xfId="2" applyNumberFormat="1" applyFont="1" applyFill="1" applyBorder="1" applyProtection="1"/>
    <xf numFmtId="1" fontId="0" fillId="0" borderId="3" xfId="1" applyNumberFormat="1" applyFont="1" applyFill="1" applyBorder="1" applyAlignment="1" applyProtection="1">
      <alignment horizontal="center"/>
    </xf>
    <xf numFmtId="2" fontId="0" fillId="0" borderId="3" xfId="2" applyNumberFormat="1" applyFont="1" applyFill="1" applyBorder="1" applyAlignment="1" applyProtection="1">
      <alignment horizontal="center"/>
    </xf>
    <xf numFmtId="2" fontId="0" fillId="0" borderId="2" xfId="2" applyNumberFormat="1" applyFont="1" applyFill="1" applyBorder="1" applyAlignment="1" applyProtection="1">
      <alignment horizontal="center"/>
    </xf>
    <xf numFmtId="2" fontId="8" fillId="8" borderId="4" xfId="2" applyNumberFormat="1" applyFont="1" applyFill="1" applyBorder="1" applyAlignment="1">
      <alignment horizontal="center"/>
    </xf>
    <xf numFmtId="168" fontId="0" fillId="0" borderId="0" xfId="0" applyNumberFormat="1"/>
    <xf numFmtId="167" fontId="11" fillId="0" borderId="0" xfId="2" applyNumberFormat="1" applyFont="1" applyFill="1" applyBorder="1" applyAlignment="1" applyProtection="1">
      <alignment vertical="center"/>
    </xf>
    <xf numFmtId="168" fontId="8" fillId="0" borderId="0" xfId="1" applyNumberFormat="1" applyFont="1" applyFill="1" applyBorder="1"/>
    <xf numFmtId="2" fontId="0" fillId="0" borderId="0" xfId="0" applyNumberFormat="1"/>
    <xf numFmtId="0" fontId="0" fillId="9" borderId="0" xfId="0" applyFill="1"/>
    <xf numFmtId="166" fontId="15" fillId="9" borderId="0" xfId="1" applyFont="1" applyFill="1"/>
    <xf numFmtId="2" fontId="4" fillId="0" borderId="0" xfId="0" applyNumberFormat="1" applyFont="1"/>
    <xf numFmtId="2" fontId="5" fillId="0" borderId="0" xfId="0" applyNumberFormat="1" applyFont="1"/>
    <xf numFmtId="0" fontId="10" fillId="0" borderId="5" xfId="0" applyFont="1" applyBorder="1" applyAlignment="1">
      <alignment vertical="center"/>
    </xf>
    <xf numFmtId="0" fontId="10" fillId="0" borderId="0" xfId="0" applyFont="1" applyAlignment="1">
      <alignment vertical="center"/>
    </xf>
    <xf numFmtId="170" fontId="0" fillId="0" borderId="0" xfId="1" applyNumberFormat="1" applyFont="1"/>
    <xf numFmtId="170" fontId="5" fillId="0" borderId="0" xfId="1" applyNumberFormat="1" applyFont="1" applyFill="1" applyBorder="1" applyAlignment="1" applyProtection="1"/>
    <xf numFmtId="0" fontId="10" fillId="0" borderId="1" xfId="0" applyFont="1" applyBorder="1" applyAlignment="1">
      <alignment horizontal="center" vertical="center" wrapText="1"/>
    </xf>
    <xf numFmtId="164" fontId="13" fillId="7" borderId="0" xfId="0" applyNumberFormat="1" applyFont="1" applyFill="1" applyAlignment="1">
      <alignment horizontal="center" vertical="center" wrapText="1"/>
    </xf>
    <xf numFmtId="164" fontId="13" fillId="7" borderId="3" xfId="0" applyNumberFormat="1" applyFont="1" applyFill="1" applyBorder="1" applyAlignment="1">
      <alignment horizontal="center" vertical="center" wrapText="1"/>
    </xf>
    <xf numFmtId="166" fontId="0" fillId="9" borderId="0" xfId="1" applyFont="1" applyFill="1"/>
    <xf numFmtId="164" fontId="13" fillId="7" borderId="0" xfId="0" applyNumberFormat="1" applyFont="1" applyFill="1" applyAlignment="1">
      <alignment horizontal="center" wrapText="1"/>
    </xf>
    <xf numFmtId="164" fontId="13" fillId="7" borderId="3" xfId="0" applyNumberFormat="1" applyFont="1" applyFill="1" applyBorder="1" applyAlignment="1">
      <alignment horizontal="center" wrapText="1"/>
    </xf>
    <xf numFmtId="170" fontId="0" fillId="0" borderId="0" xfId="1" applyNumberFormat="1" applyFont="1" applyFill="1"/>
    <xf numFmtId="169" fontId="0" fillId="0" borderId="0" xfId="0" applyNumberFormat="1"/>
    <xf numFmtId="171" fontId="0" fillId="0" borderId="0" xfId="0" applyNumberFormat="1"/>
    <xf numFmtId="2" fontId="17" fillId="0" borderId="0" xfId="0" applyNumberFormat="1" applyFont="1" applyAlignment="1">
      <alignment horizontal="right" wrapText="1" readingOrder="1"/>
    </xf>
    <xf numFmtId="2" fontId="18" fillId="0" borderId="0" xfId="0" applyNumberFormat="1" applyFont="1" applyAlignment="1">
      <alignment horizontal="right" wrapText="1" readingOrder="1"/>
    </xf>
    <xf numFmtId="166" fontId="19" fillId="0" borderId="0" xfId="1" applyFont="1" applyFill="1"/>
    <xf numFmtId="166" fontId="16" fillId="9" borderId="0" xfId="1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1" fontId="0" fillId="0" borderId="0" xfId="0" applyNumberFormat="1" applyAlignment="1">
      <alignment horizontal="right" vertical="center"/>
    </xf>
    <xf numFmtId="166" fontId="1" fillId="0" borderId="0" xfId="1" applyFont="1"/>
    <xf numFmtId="164" fontId="13" fillId="0" borderId="0" xfId="0" applyNumberFormat="1" applyFont="1" applyAlignment="1">
      <alignment horizontal="center" wrapText="1"/>
    </xf>
    <xf numFmtId="1" fontId="0" fillId="0" borderId="0" xfId="1" applyNumberFormat="1" applyFont="1" applyFill="1" applyBorder="1" applyAlignment="1" applyProtection="1">
      <alignment horizontal="center"/>
    </xf>
    <xf numFmtId="2" fontId="0" fillId="0" borderId="0" xfId="2" applyNumberFormat="1" applyFont="1" applyFill="1" applyBorder="1" applyAlignment="1" applyProtection="1">
      <alignment horizontal="center"/>
    </xf>
    <xf numFmtId="2" fontId="8" fillId="0" borderId="0" xfId="2" applyNumberFormat="1" applyFont="1" applyFill="1" applyBorder="1" applyAlignment="1">
      <alignment horizontal="center"/>
    </xf>
    <xf numFmtId="171" fontId="0" fillId="9" borderId="0" xfId="0" applyNumberFormat="1" applyFill="1"/>
    <xf numFmtId="2" fontId="18" fillId="9" borderId="0" xfId="0" applyNumberFormat="1" applyFont="1" applyFill="1" applyAlignment="1">
      <alignment horizontal="right" wrapText="1" readingOrder="1"/>
    </xf>
    <xf numFmtId="2" fontId="10" fillId="0" borderId="0" xfId="0" applyNumberFormat="1" applyFont="1" applyAlignment="1">
      <alignment horizontal="center" vertical="center" wrapText="1"/>
    </xf>
    <xf numFmtId="170" fontId="2" fillId="10" borderId="0" xfId="1" applyNumberFormat="1" applyFont="1" applyFill="1"/>
    <xf numFmtId="0" fontId="21" fillId="0" borderId="0" xfId="0" applyFont="1" applyAlignment="1">
      <alignment vertical="center" wrapText="1"/>
    </xf>
    <xf numFmtId="0" fontId="22" fillId="4" borderId="6" xfId="0" applyFont="1" applyFill="1" applyBorder="1" applyAlignment="1">
      <alignment vertical="center" wrapText="1"/>
    </xf>
    <xf numFmtId="0" fontId="23" fillId="4" borderId="6" xfId="0" applyFont="1" applyFill="1" applyBorder="1" applyAlignment="1">
      <alignment vertical="center" wrapText="1"/>
    </xf>
    <xf numFmtId="0" fontId="22" fillId="0" borderId="0" xfId="0" applyFont="1"/>
    <xf numFmtId="0" fontId="20" fillId="0" borderId="0" xfId="6"/>
    <xf numFmtId="166" fontId="2" fillId="0" borderId="0" xfId="1" applyFont="1" applyFill="1"/>
    <xf numFmtId="166" fontId="15" fillId="0" borderId="0" xfId="1" applyFont="1" applyFill="1"/>
    <xf numFmtId="2" fontId="0" fillId="0" borderId="0" xfId="0" applyNumberFormat="1" applyAlignment="1">
      <alignment horizontal="center"/>
    </xf>
    <xf numFmtId="166" fontId="16" fillId="0" borderId="0" xfId="1" applyFont="1"/>
    <xf numFmtId="171" fontId="16" fillId="0" borderId="0" xfId="0" applyNumberFormat="1" applyFont="1"/>
    <xf numFmtId="0" fontId="25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2" fontId="16" fillId="0" borderId="0" xfId="0" applyNumberFormat="1" applyFont="1"/>
    <xf numFmtId="2" fontId="27" fillId="0" borderId="0" xfId="0" applyNumberFormat="1" applyFont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wrapText="1"/>
    </xf>
    <xf numFmtId="0" fontId="29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34" fillId="13" borderId="10" xfId="0" applyFont="1" applyFill="1" applyBorder="1" applyAlignment="1">
      <alignment horizontal="left" vertical="top" wrapText="1"/>
    </xf>
    <xf numFmtId="0" fontId="28" fillId="13" borderId="10" xfId="0" applyFont="1" applyFill="1" applyBorder="1" applyAlignment="1">
      <alignment horizontal="right" vertical="center" wrapText="1"/>
    </xf>
    <xf numFmtId="0" fontId="34" fillId="12" borderId="10" xfId="0" applyFont="1" applyFill="1" applyBorder="1" applyAlignment="1">
      <alignment horizontal="left" vertical="top" wrapText="1"/>
    </xf>
    <xf numFmtId="0" fontId="35" fillId="13" borderId="10" xfId="0" applyFont="1" applyFill="1" applyBorder="1" applyAlignment="1">
      <alignment horizontal="right" vertical="center" wrapText="1"/>
    </xf>
    <xf numFmtId="0" fontId="33" fillId="11" borderId="11" xfId="0" applyFont="1" applyFill="1" applyBorder="1" applyAlignment="1">
      <alignment horizontal="left" vertical="center" wrapText="1"/>
    </xf>
    <xf numFmtId="0" fontId="28" fillId="12" borderId="12" xfId="0" applyFont="1" applyFill="1" applyBorder="1" applyAlignment="1">
      <alignment horizontal="center" vertical="center" wrapText="1"/>
    </xf>
    <xf numFmtId="0" fontId="28" fillId="13" borderId="12" xfId="0" applyFont="1" applyFill="1" applyBorder="1" applyAlignment="1">
      <alignment horizontal="center" vertical="center" wrapText="1"/>
    </xf>
    <xf numFmtId="0" fontId="28" fillId="13" borderId="13" xfId="0" applyFont="1" applyFill="1" applyBorder="1" applyAlignment="1">
      <alignment horizontal="left" vertical="center"/>
    </xf>
    <xf numFmtId="0" fontId="28" fillId="11" borderId="13" xfId="0" applyFont="1" applyFill="1" applyBorder="1" applyAlignment="1">
      <alignment horizontal="left" vertical="center"/>
    </xf>
    <xf numFmtId="0" fontId="29" fillId="0" borderId="0" xfId="0" applyFont="1" applyAlignment="1">
      <alignment vertical="center"/>
    </xf>
    <xf numFmtId="0" fontId="35" fillId="13" borderId="14" xfId="0" applyFont="1" applyFill="1" applyBorder="1" applyAlignment="1">
      <alignment horizontal="right" vertical="center" wrapText="1"/>
    </xf>
    <xf numFmtId="0" fontId="28" fillId="13" borderId="14" xfId="0" applyFont="1" applyFill="1" applyBorder="1" applyAlignment="1">
      <alignment horizontal="right" vertical="center" wrapText="1"/>
    </xf>
    <xf numFmtId="0" fontId="28" fillId="0" borderId="0" xfId="0" applyFont="1" applyAlignment="1">
      <alignment horizontal="left" vertical="center"/>
    </xf>
    <xf numFmtId="0" fontId="34" fillId="0" borderId="0" xfId="0" applyFont="1" applyAlignment="1">
      <alignment horizontal="left" vertical="top" wrapText="1"/>
    </xf>
    <xf numFmtId="0" fontId="28" fillId="0" borderId="0" xfId="0" applyFont="1" applyAlignment="1">
      <alignment horizontal="right" vertical="center" wrapText="1"/>
    </xf>
    <xf numFmtId="166" fontId="0" fillId="14" borderId="0" xfId="1" applyFont="1" applyFill="1"/>
    <xf numFmtId="0" fontId="36" fillId="15" borderId="16" xfId="0" applyFont="1" applyFill="1" applyBorder="1" applyAlignment="1">
      <alignment horizontal="right" wrapText="1"/>
    </xf>
    <xf numFmtId="0" fontId="36" fillId="15" borderId="15" xfId="0" applyFont="1" applyFill="1" applyBorder="1" applyAlignment="1">
      <alignment horizontal="right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36" fillId="15" borderId="15" xfId="0" applyFont="1" applyFill="1" applyBorder="1" applyAlignment="1">
      <alignment horizontal="left" vertical="center"/>
    </xf>
    <xf numFmtId="0" fontId="14" fillId="4" borderId="17" xfId="0" applyFont="1" applyFill="1" applyBorder="1" applyAlignment="1">
      <alignment horizontal="right" vertical="center"/>
    </xf>
    <xf numFmtId="0" fontId="36" fillId="15" borderId="26" xfId="0" applyFont="1" applyFill="1" applyBorder="1" applyAlignment="1">
      <alignment horizontal="left" vertical="center"/>
    </xf>
    <xf numFmtId="0" fontId="14" fillId="4" borderId="27" xfId="0" applyFont="1" applyFill="1" applyBorder="1" applyAlignment="1">
      <alignment horizontal="right" vertical="center"/>
    </xf>
    <xf numFmtId="0" fontId="36" fillId="15" borderId="22" xfId="0" applyFont="1" applyFill="1" applyBorder="1" applyAlignment="1">
      <alignment horizontal="left" vertical="center"/>
    </xf>
    <xf numFmtId="0" fontId="14" fillId="4" borderId="0" xfId="0" applyFont="1" applyFill="1" applyAlignment="1">
      <alignment horizontal="right" vertical="center"/>
    </xf>
    <xf numFmtId="0" fontId="36" fillId="15" borderId="19" xfId="0" applyFont="1" applyFill="1" applyBorder="1" applyAlignment="1">
      <alignment horizontal="left" vertical="center"/>
    </xf>
    <xf numFmtId="0" fontId="14" fillId="4" borderId="21" xfId="0" applyFont="1" applyFill="1" applyBorder="1" applyAlignment="1">
      <alignment horizontal="right" vertical="center"/>
    </xf>
    <xf numFmtId="0" fontId="14" fillId="4" borderId="23" xfId="0" applyFont="1" applyFill="1" applyBorder="1" applyAlignment="1">
      <alignment horizontal="right" vertical="center"/>
    </xf>
    <xf numFmtId="0" fontId="14" fillId="4" borderId="33" xfId="0" applyFont="1" applyFill="1" applyBorder="1" applyAlignment="1">
      <alignment horizontal="right" vertical="center"/>
    </xf>
    <xf numFmtId="0" fontId="36" fillId="15" borderId="34" xfId="0" applyFont="1" applyFill="1" applyBorder="1" applyAlignment="1">
      <alignment horizontal="left" vertical="center"/>
    </xf>
    <xf numFmtId="0" fontId="36" fillId="15" borderId="16" xfId="0" applyFont="1" applyFill="1" applyBorder="1" applyAlignment="1">
      <alignment horizontal="left" vertical="center"/>
    </xf>
    <xf numFmtId="0" fontId="36" fillId="15" borderId="19" xfId="0" applyFont="1" applyFill="1" applyBorder="1" applyAlignment="1">
      <alignment horizontal="left" wrapText="1"/>
    </xf>
    <xf numFmtId="0" fontId="36" fillId="15" borderId="20" xfId="0" applyFont="1" applyFill="1" applyBorder="1" applyAlignment="1">
      <alignment horizontal="right" wrapText="1"/>
    </xf>
    <xf numFmtId="0" fontId="36" fillId="15" borderId="19" xfId="0" applyFont="1" applyFill="1" applyBorder="1" applyAlignment="1">
      <alignment horizontal="right" wrapText="1"/>
    </xf>
    <xf numFmtId="0" fontId="14" fillId="4" borderId="37" xfId="0" applyFont="1" applyFill="1" applyBorder="1" applyAlignment="1">
      <alignment horizontal="right" vertical="center"/>
    </xf>
    <xf numFmtId="2" fontId="12" fillId="0" borderId="0" xfId="0" applyNumberFormat="1" applyFont="1" applyAlignment="1">
      <alignment horizontal="center"/>
    </xf>
    <xf numFmtId="2" fontId="12" fillId="0" borderId="0" xfId="0" applyNumberFormat="1" applyFont="1"/>
    <xf numFmtId="0" fontId="36" fillId="15" borderId="20" xfId="0" applyFont="1" applyFill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38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15" borderId="29" xfId="0" applyFont="1" applyFill="1" applyBorder="1"/>
    <xf numFmtId="172" fontId="8" fillId="0" borderId="0" xfId="2" applyNumberFormat="1" applyFont="1" applyAlignment="1">
      <alignment horizontal="center"/>
    </xf>
    <xf numFmtId="2" fontId="10" fillId="0" borderId="5" xfId="0" applyNumberFormat="1" applyFont="1" applyBorder="1" applyAlignment="1">
      <alignment vertical="center"/>
    </xf>
    <xf numFmtId="173" fontId="8" fillId="0" borderId="0" xfId="2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72" fontId="0" fillId="0" borderId="0" xfId="0" applyNumberFormat="1"/>
    <xf numFmtId="0" fontId="3" fillId="16" borderId="0" xfId="0" applyFont="1" applyFill="1"/>
    <xf numFmtId="0" fontId="0" fillId="16" borderId="0" xfId="0" applyFill="1"/>
    <xf numFmtId="0" fontId="20" fillId="16" borderId="0" xfId="6" applyFill="1"/>
    <xf numFmtId="1" fontId="3" fillId="0" borderId="0" xfId="0" applyNumberFormat="1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9" fontId="39" fillId="8" borderId="4" xfId="2" applyNumberFormat="1" applyFont="1" applyFill="1" applyBorder="1" applyAlignment="1">
      <alignment horizontal="center"/>
    </xf>
    <xf numFmtId="173" fontId="39" fillId="8" borderId="4" xfId="2" applyNumberFormat="1" applyFont="1" applyFill="1" applyBorder="1" applyAlignment="1">
      <alignment horizontal="center"/>
    </xf>
    <xf numFmtId="169" fontId="8" fillId="8" borderId="4" xfId="2" applyNumberFormat="1" applyFont="1" applyFill="1" applyBorder="1" applyAlignment="1">
      <alignment horizontal="center"/>
    </xf>
    <xf numFmtId="9" fontId="0" fillId="0" borderId="0" xfId="2" applyFont="1"/>
    <xf numFmtId="174" fontId="16" fillId="0" borderId="0" xfId="2" applyNumberFormat="1" applyFont="1"/>
    <xf numFmtId="173" fontId="39" fillId="14" borderId="4" xfId="2" applyNumberFormat="1" applyFont="1" applyFill="1" applyBorder="1" applyAlignment="1">
      <alignment horizontal="center"/>
    </xf>
    <xf numFmtId="170" fontId="16" fillId="0" borderId="0" xfId="1" applyNumberFormat="1" applyFont="1"/>
    <xf numFmtId="0" fontId="23" fillId="4" borderId="7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>
      <alignment horizontal="center" vertical="center" wrapText="1"/>
    </xf>
    <xf numFmtId="0" fontId="23" fillId="4" borderId="7" xfId="0" applyFont="1" applyFill="1" applyBorder="1" applyAlignment="1">
      <alignment vertical="center" wrapText="1"/>
    </xf>
    <xf numFmtId="0" fontId="23" fillId="4" borderId="8" xfId="0" applyFont="1" applyFill="1" applyBorder="1" applyAlignment="1">
      <alignment vertical="center" wrapText="1"/>
    </xf>
    <xf numFmtId="0" fontId="23" fillId="4" borderId="9" xfId="0" applyFont="1" applyFill="1" applyBorder="1" applyAlignment="1">
      <alignment vertical="center" wrapText="1"/>
    </xf>
    <xf numFmtId="0" fontId="9" fillId="6" borderId="0" xfId="0" applyFont="1" applyFill="1" applyAlignment="1">
      <alignment horizontal="center"/>
    </xf>
    <xf numFmtId="0" fontId="36" fillId="15" borderId="28" xfId="0" applyFont="1" applyFill="1" applyBorder="1" applyAlignment="1">
      <alignment horizontal="center" wrapText="1"/>
    </xf>
    <xf numFmtId="0" fontId="36" fillId="15" borderId="29" xfId="0" applyFont="1" applyFill="1" applyBorder="1" applyAlignment="1">
      <alignment horizontal="center" wrapText="1"/>
    </xf>
    <xf numFmtId="0" fontId="3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38" fillId="0" borderId="0" xfId="0" applyFont="1" applyAlignment="1">
      <alignment horizontal="center" vertical="center" wrapText="1"/>
    </xf>
    <xf numFmtId="0" fontId="36" fillId="15" borderId="30" xfId="0" applyFont="1" applyFill="1" applyBorder="1" applyAlignment="1">
      <alignment horizontal="left" wrapText="1"/>
    </xf>
    <xf numFmtId="0" fontId="36" fillId="15" borderId="19" xfId="0" applyFont="1" applyFill="1" applyBorder="1" applyAlignment="1">
      <alignment horizontal="left" wrapText="1"/>
    </xf>
    <xf numFmtId="0" fontId="36" fillId="15" borderId="31" xfId="0" applyFont="1" applyFill="1" applyBorder="1" applyAlignment="1">
      <alignment horizontal="right" wrapText="1"/>
    </xf>
    <xf numFmtId="0" fontId="36" fillId="15" borderId="24" xfId="0" applyFont="1" applyFill="1" applyBorder="1" applyAlignment="1">
      <alignment horizontal="right" wrapText="1"/>
    </xf>
    <xf numFmtId="0" fontId="36" fillId="15" borderId="32" xfId="0" applyFont="1" applyFill="1" applyBorder="1" applyAlignment="1">
      <alignment horizontal="right" wrapText="1"/>
    </xf>
    <xf numFmtId="0" fontId="36" fillId="15" borderId="25" xfId="0" applyFont="1" applyFill="1" applyBorder="1" applyAlignment="1">
      <alignment horizontal="right" wrapText="1"/>
    </xf>
    <xf numFmtId="0" fontId="36" fillId="15" borderId="35" xfId="0" applyFont="1" applyFill="1" applyBorder="1" applyAlignment="1">
      <alignment horizontal="center" wrapText="1"/>
    </xf>
    <xf numFmtId="0" fontId="36" fillId="15" borderId="18" xfId="0" applyFont="1" applyFill="1" applyBorder="1" applyAlignment="1">
      <alignment horizontal="center" wrapText="1"/>
    </xf>
    <xf numFmtId="0" fontId="36" fillId="15" borderId="36" xfId="0" applyFont="1" applyFill="1" applyBorder="1" applyAlignment="1">
      <alignment horizontal="center" wrapText="1"/>
    </xf>
    <xf numFmtId="0" fontId="36" fillId="15" borderId="20" xfId="0" applyFont="1" applyFill="1" applyBorder="1" applyAlignment="1">
      <alignment horizontal="center" wrapText="1"/>
    </xf>
    <xf numFmtId="166" fontId="16" fillId="14" borderId="0" xfId="1" applyFont="1" applyFill="1"/>
    <xf numFmtId="0" fontId="0" fillId="14" borderId="0" xfId="0" applyFill="1"/>
    <xf numFmtId="0" fontId="42" fillId="14" borderId="0" xfId="0" applyFont="1" applyFill="1"/>
    <xf numFmtId="166" fontId="16" fillId="17" borderId="0" xfId="1" applyFont="1" applyFill="1"/>
    <xf numFmtId="166" fontId="3" fillId="0" borderId="0" xfId="1" applyFont="1"/>
    <xf numFmtId="49" fontId="0" fillId="0" borderId="0" xfId="0" applyNumberFormat="1"/>
    <xf numFmtId="0" fontId="44" fillId="0" borderId="38" xfId="0" applyFont="1" applyBorder="1" applyAlignment="1">
      <alignment horizontal="center" vertical="center" wrapText="1"/>
    </xf>
    <xf numFmtId="14" fontId="44" fillId="0" borderId="38" xfId="0" applyNumberFormat="1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vertical="center" wrapText="1"/>
    </xf>
    <xf numFmtId="170" fontId="0" fillId="14" borderId="0" xfId="1" applyNumberFormat="1" applyFont="1" applyFill="1" applyAlignment="1">
      <alignment horizontal="center" vertical="center"/>
    </xf>
    <xf numFmtId="170" fontId="0" fillId="14" borderId="0" xfId="1" applyNumberFormat="1" applyFont="1" applyFill="1" applyAlignment="1">
      <alignment horizontal="center"/>
    </xf>
    <xf numFmtId="2" fontId="43" fillId="0" borderId="38" xfId="0" applyNumberFormat="1" applyFont="1" applyBorder="1" applyAlignment="1">
      <alignment vertical="center" wrapText="1"/>
    </xf>
    <xf numFmtId="172" fontId="43" fillId="0" borderId="38" xfId="0" applyNumberFormat="1" applyFont="1" applyBorder="1" applyAlignment="1">
      <alignment vertical="center" wrapText="1"/>
    </xf>
    <xf numFmtId="173" fontId="8" fillId="8" borderId="4" xfId="2" applyNumberFormat="1" applyFont="1" applyFill="1" applyBorder="1" applyAlignment="1">
      <alignment horizontal="center"/>
    </xf>
    <xf numFmtId="183" fontId="39" fillId="8" borderId="4" xfId="2" applyNumberFormat="1" applyFont="1" applyFill="1" applyBorder="1" applyAlignment="1">
      <alignment horizontal="center"/>
    </xf>
    <xf numFmtId="180" fontId="39" fillId="14" borderId="4" xfId="2" applyNumberFormat="1" applyFont="1" applyFill="1" applyBorder="1" applyAlignment="1">
      <alignment horizontal="center"/>
    </xf>
  </cellXfs>
  <cellStyles count="7">
    <cellStyle name="Comma 3" xfId="4" xr:uid="{00000000-0005-0000-0000-000001000000}"/>
    <cellStyle name="Lien hypertexte" xfId="6" builtinId="8"/>
    <cellStyle name="Milliers" xfId="1" builtinId="3"/>
    <cellStyle name="Normal" xfId="0" builtinId="0"/>
    <cellStyle name="Normal 2 2 2 3" xfId="5" xr:uid="{00000000-0005-0000-0000-000004000000}"/>
    <cellStyle name="Normal 4" xfId="3" xr:uid="{00000000-0005-0000-0000-000005000000}"/>
    <cellStyle name="Pourcentage" xfId="2" builtinId="5"/>
  </cellStyles>
  <dxfs count="44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TD12m Consolidado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Portugal_indicadores!$B$1</c:f>
              <c:strCache>
                <c:ptCount val="1"/>
                <c:pt idx="0">
                  <c:v> Bananas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Portugal_indicadores!$A$2:$A$91</c:f>
              <c:numCache>
                <c:formatCode>@</c:formatCode>
                <c:ptCount val="90"/>
                <c:pt idx="0">
                  <c:v>201907</c:v>
                </c:pt>
                <c:pt idx="1">
                  <c:v>201908</c:v>
                </c:pt>
                <c:pt idx="2">
                  <c:v>201909</c:v>
                </c:pt>
                <c:pt idx="3">
                  <c:v>201910</c:v>
                </c:pt>
                <c:pt idx="4">
                  <c:v>201911</c:v>
                </c:pt>
                <c:pt idx="5">
                  <c:v>201912</c:v>
                </c:pt>
                <c:pt idx="6">
                  <c:v>202001</c:v>
                </c:pt>
                <c:pt idx="7">
                  <c:v>202002</c:v>
                </c:pt>
                <c:pt idx="8">
                  <c:v>202003</c:v>
                </c:pt>
                <c:pt idx="9">
                  <c:v>202004</c:v>
                </c:pt>
                <c:pt idx="10" formatCode="General">
                  <c:v>202005</c:v>
                </c:pt>
                <c:pt idx="11" formatCode="General">
                  <c:v>202006</c:v>
                </c:pt>
                <c:pt idx="12" formatCode="General">
                  <c:v>202007</c:v>
                </c:pt>
                <c:pt idx="13" formatCode="General">
                  <c:v>202008</c:v>
                </c:pt>
                <c:pt idx="14" formatCode="General">
                  <c:v>202009</c:v>
                </c:pt>
                <c:pt idx="15" formatCode="General">
                  <c:v>202010</c:v>
                </c:pt>
                <c:pt idx="16" formatCode="General">
                  <c:v>202011</c:v>
                </c:pt>
                <c:pt idx="17" formatCode="General">
                  <c:v>202012</c:v>
                </c:pt>
                <c:pt idx="18" formatCode="General">
                  <c:v>202101</c:v>
                </c:pt>
                <c:pt idx="19" formatCode="General">
                  <c:v>202102</c:v>
                </c:pt>
                <c:pt idx="20" formatCode="General">
                  <c:v>202103</c:v>
                </c:pt>
                <c:pt idx="21" formatCode="General">
                  <c:v>202104</c:v>
                </c:pt>
                <c:pt idx="22" formatCode="General">
                  <c:v>202105</c:v>
                </c:pt>
                <c:pt idx="23" formatCode="General">
                  <c:v>202106</c:v>
                </c:pt>
                <c:pt idx="24" formatCode="General">
                  <c:v>202107</c:v>
                </c:pt>
                <c:pt idx="25" formatCode="General">
                  <c:v>202108</c:v>
                </c:pt>
                <c:pt idx="26" formatCode="General">
                  <c:v>202109</c:v>
                </c:pt>
                <c:pt idx="27" formatCode="General">
                  <c:v>202110</c:v>
                </c:pt>
                <c:pt idx="28" formatCode="General">
                  <c:v>202111</c:v>
                </c:pt>
                <c:pt idx="29" formatCode="General">
                  <c:v>202112</c:v>
                </c:pt>
                <c:pt idx="30" formatCode="General">
                  <c:v>202201</c:v>
                </c:pt>
                <c:pt idx="31" formatCode="General">
                  <c:v>202202</c:v>
                </c:pt>
                <c:pt idx="32" formatCode="General">
                  <c:v>202203</c:v>
                </c:pt>
                <c:pt idx="33" formatCode="General">
                  <c:v>202204</c:v>
                </c:pt>
                <c:pt idx="34" formatCode="General">
                  <c:v>202205</c:v>
                </c:pt>
                <c:pt idx="35" formatCode="General">
                  <c:v>202206</c:v>
                </c:pt>
                <c:pt idx="36" formatCode="General">
                  <c:v>202207</c:v>
                </c:pt>
                <c:pt idx="37" formatCode="General">
                  <c:v>202208</c:v>
                </c:pt>
                <c:pt idx="38" formatCode="General">
                  <c:v>202209</c:v>
                </c:pt>
                <c:pt idx="39" formatCode="General">
                  <c:v>202210</c:v>
                </c:pt>
                <c:pt idx="40" formatCode="General">
                  <c:v>202211</c:v>
                </c:pt>
                <c:pt idx="41" formatCode="General">
                  <c:v>202212</c:v>
                </c:pt>
                <c:pt idx="42" formatCode="General">
                  <c:v>202301</c:v>
                </c:pt>
                <c:pt idx="43" formatCode="General">
                  <c:v>202302</c:v>
                </c:pt>
                <c:pt idx="44" formatCode="General">
                  <c:v>202303</c:v>
                </c:pt>
                <c:pt idx="45" formatCode="General">
                  <c:v>202304</c:v>
                </c:pt>
                <c:pt idx="46" formatCode="General">
                  <c:v>202305</c:v>
                </c:pt>
                <c:pt idx="47" formatCode="General">
                  <c:v>202306</c:v>
                </c:pt>
                <c:pt idx="48" formatCode="General">
                  <c:v>202307</c:v>
                </c:pt>
                <c:pt idx="49" formatCode="General">
                  <c:v>202308</c:v>
                </c:pt>
                <c:pt idx="50" formatCode="General">
                  <c:v>202309</c:v>
                </c:pt>
                <c:pt idx="51" formatCode="General">
                  <c:v>202310</c:v>
                </c:pt>
                <c:pt idx="52" formatCode="General">
                  <c:v>202311</c:v>
                </c:pt>
                <c:pt idx="53" formatCode="General">
                  <c:v>202312</c:v>
                </c:pt>
                <c:pt idx="54" formatCode="General">
                  <c:v>202401</c:v>
                </c:pt>
                <c:pt idx="55" formatCode="General">
                  <c:v>202402</c:v>
                </c:pt>
                <c:pt idx="56" formatCode="General">
                  <c:v>202403</c:v>
                </c:pt>
                <c:pt idx="57" formatCode="General">
                  <c:v>202404</c:v>
                </c:pt>
                <c:pt idx="58" formatCode="General">
                  <c:v>202405</c:v>
                </c:pt>
                <c:pt idx="59" formatCode="General">
                  <c:v>202406</c:v>
                </c:pt>
                <c:pt idx="60" formatCode="General">
                  <c:v>202407</c:v>
                </c:pt>
                <c:pt idx="61" formatCode="General">
                  <c:v>202408</c:v>
                </c:pt>
                <c:pt idx="62" formatCode="General">
                  <c:v>202409</c:v>
                </c:pt>
                <c:pt idx="63" formatCode="General">
                  <c:v>202410</c:v>
                </c:pt>
                <c:pt idx="64" formatCode="General">
                  <c:v>202411</c:v>
                </c:pt>
                <c:pt idx="65" formatCode="General">
                  <c:v>202412</c:v>
                </c:pt>
                <c:pt idx="66" formatCode="General">
                  <c:v>202501</c:v>
                </c:pt>
                <c:pt idx="67" formatCode="General">
                  <c:v>202502</c:v>
                </c:pt>
                <c:pt idx="68" formatCode="General">
                  <c:v>202503</c:v>
                </c:pt>
                <c:pt idx="69" formatCode="General">
                  <c:v>202504</c:v>
                </c:pt>
                <c:pt idx="70" formatCode="General">
                  <c:v>202505</c:v>
                </c:pt>
                <c:pt idx="71" formatCode="General">
                  <c:v>202506</c:v>
                </c:pt>
                <c:pt idx="72" formatCode="General">
                  <c:v>202507</c:v>
                </c:pt>
                <c:pt idx="73" formatCode="General">
                  <c:v>202508</c:v>
                </c:pt>
                <c:pt idx="74" formatCode="General">
                  <c:v>202509</c:v>
                </c:pt>
                <c:pt idx="75" formatCode="General">
                  <c:v>202510</c:v>
                </c:pt>
                <c:pt idx="76" formatCode="General">
                  <c:v>202511</c:v>
                </c:pt>
                <c:pt idx="77" formatCode="General">
                  <c:v>202512</c:v>
                </c:pt>
                <c:pt idx="78" formatCode="General">
                  <c:v>202601</c:v>
                </c:pt>
                <c:pt idx="79" formatCode="General">
                  <c:v>202602</c:v>
                </c:pt>
                <c:pt idx="80" formatCode="General">
                  <c:v>202603</c:v>
                </c:pt>
                <c:pt idx="81" formatCode="General">
                  <c:v>202604</c:v>
                </c:pt>
                <c:pt idx="82" formatCode="General">
                  <c:v>202605</c:v>
                </c:pt>
                <c:pt idx="83" formatCode="General">
                  <c:v>202606</c:v>
                </c:pt>
                <c:pt idx="84" formatCode="General">
                  <c:v>202607</c:v>
                </c:pt>
                <c:pt idx="85" formatCode="General">
                  <c:v>202608</c:v>
                </c:pt>
                <c:pt idx="86" formatCode="General">
                  <c:v>202609</c:v>
                </c:pt>
                <c:pt idx="87" formatCode="General">
                  <c:v>202610</c:v>
                </c:pt>
                <c:pt idx="88" formatCode="General">
                  <c:v>202611</c:v>
                </c:pt>
                <c:pt idx="89" formatCode="General">
                  <c:v>202612</c:v>
                </c:pt>
              </c:numCache>
            </c:numRef>
          </c:cat>
          <c:val>
            <c:numRef>
              <c:f>Portugal_indicadores!$B$2:$B$79</c:f>
              <c:numCache>
                <c:formatCode>_-* #\ ##0.000_-;\-* #\ ##0.000_-;_-* "-"??_-;_-@_-</c:formatCode>
                <c:ptCount val="78"/>
                <c:pt idx="12">
                  <c:v>4.3437441744568199E-2</c:v>
                </c:pt>
                <c:pt idx="13">
                  <c:v>4.013394693902253E-2</c:v>
                </c:pt>
                <c:pt idx="14">
                  <c:v>4.0497163488207054E-2</c:v>
                </c:pt>
                <c:pt idx="15">
                  <c:v>4.1286086407357758E-2</c:v>
                </c:pt>
                <c:pt idx="16">
                  <c:v>4.2187942719767939E-2</c:v>
                </c:pt>
                <c:pt idx="17">
                  <c:v>4.2471299513697179E-2</c:v>
                </c:pt>
                <c:pt idx="18">
                  <c:v>4.1920834853606155E-2</c:v>
                </c:pt>
                <c:pt idx="19">
                  <c:v>3.9108570834952013E-2</c:v>
                </c:pt>
                <c:pt idx="20">
                  <c:v>3.6046841867549403E-2</c:v>
                </c:pt>
                <c:pt idx="21">
                  <c:v>2.7355237825420022E-2</c:v>
                </c:pt>
                <c:pt idx="22">
                  <c:v>2.3559644871238E-2</c:v>
                </c:pt>
                <c:pt idx="23">
                  <c:v>2.3568044510027367E-2</c:v>
                </c:pt>
                <c:pt idx="24">
                  <c:v>2.5690669143998725E-2</c:v>
                </c:pt>
                <c:pt idx="25">
                  <c:v>2.5819416788303438E-2</c:v>
                </c:pt>
                <c:pt idx="26">
                  <c:v>2.673670973575067E-2</c:v>
                </c:pt>
                <c:pt idx="27">
                  <c:v>2.7689090110515058E-2</c:v>
                </c:pt>
                <c:pt idx="28">
                  <c:v>2.8446148389824785E-2</c:v>
                </c:pt>
                <c:pt idx="29">
                  <c:v>2.9269147842478457E-2</c:v>
                </c:pt>
                <c:pt idx="30">
                  <c:v>2.7318124162630037E-2</c:v>
                </c:pt>
                <c:pt idx="31">
                  <c:v>2.7578907067958042E-2</c:v>
                </c:pt>
                <c:pt idx="32">
                  <c:v>2.8314983742788034E-2</c:v>
                </c:pt>
                <c:pt idx="33">
                  <c:v>3.2445718675921956E-2</c:v>
                </c:pt>
                <c:pt idx="34">
                  <c:v>3.3679873092941771E-2</c:v>
                </c:pt>
                <c:pt idx="35">
                  <c:v>3.5237067599472469E-2</c:v>
                </c:pt>
                <c:pt idx="36">
                  <c:v>3.6317405655292338E-2</c:v>
                </c:pt>
                <c:pt idx="37">
                  <c:v>4.1386621770823688E-2</c:v>
                </c:pt>
                <c:pt idx="38">
                  <c:v>4.2502617789220015E-2</c:v>
                </c:pt>
                <c:pt idx="39">
                  <c:v>4.5631669561585965E-2</c:v>
                </c:pt>
                <c:pt idx="40">
                  <c:v>5.1418023642256977E-2</c:v>
                </c:pt>
                <c:pt idx="41">
                  <c:v>5.6537866649608658E-2</c:v>
                </c:pt>
                <c:pt idx="42">
                  <c:v>5.9207142334392587E-2</c:v>
                </c:pt>
                <c:pt idx="43">
                  <c:v>6.4510120705673538E-2</c:v>
                </c:pt>
                <c:pt idx="44">
                  <c:v>7.1182878239680517E-2</c:v>
                </c:pt>
                <c:pt idx="45">
                  <c:v>7.6832711349003893E-2</c:v>
                </c:pt>
                <c:pt idx="46">
                  <c:v>8.0064163564915261E-2</c:v>
                </c:pt>
                <c:pt idx="47">
                  <c:v>8.330227284746658E-2</c:v>
                </c:pt>
                <c:pt idx="48">
                  <c:v>8.6609612439609365E-2</c:v>
                </c:pt>
                <c:pt idx="49">
                  <c:v>8.8940591329730104E-2</c:v>
                </c:pt>
                <c:pt idx="50">
                  <c:v>8.5663988130107657E-2</c:v>
                </c:pt>
                <c:pt idx="51">
                  <c:v>8.7587930073862577E-2</c:v>
                </c:pt>
                <c:pt idx="52">
                  <c:v>8.6181570517426295E-2</c:v>
                </c:pt>
                <c:pt idx="53">
                  <c:v>8.2700900180251988E-2</c:v>
                </c:pt>
                <c:pt idx="54">
                  <c:v>7.8116859541138464E-2</c:v>
                </c:pt>
                <c:pt idx="55">
                  <c:v>7.8541085683690753E-2</c:v>
                </c:pt>
                <c:pt idx="56">
                  <c:v>7.9913248604454104E-2</c:v>
                </c:pt>
                <c:pt idx="57">
                  <c:v>7.6047458843195984E-2</c:v>
                </c:pt>
                <c:pt idx="58">
                  <c:v>7.3365349718296224E-2</c:v>
                </c:pt>
                <c:pt idx="59">
                  <c:v>7.4709829845040696E-2</c:v>
                </c:pt>
                <c:pt idx="60">
                  <c:v>7.2452310960685745E-2</c:v>
                </c:pt>
                <c:pt idx="61">
                  <c:v>7.2553379598873133E-2</c:v>
                </c:pt>
                <c:pt idx="62">
                  <c:v>6.9116032360326277E-2</c:v>
                </c:pt>
                <c:pt idx="63">
                  <c:v>6.4832587234437189E-2</c:v>
                </c:pt>
                <c:pt idx="64">
                  <c:v>6.1169307088017981E-2</c:v>
                </c:pt>
                <c:pt idx="65">
                  <c:v>5.8174646634999841E-2</c:v>
                </c:pt>
                <c:pt idx="66">
                  <c:v>6.0101463209308106E-2</c:v>
                </c:pt>
                <c:pt idx="67">
                  <c:v>5.690314373432713E-2</c:v>
                </c:pt>
                <c:pt idx="68">
                  <c:v>5.4384350325507341E-2</c:v>
                </c:pt>
                <c:pt idx="69">
                  <c:v>5.6576463312127956E-2</c:v>
                </c:pt>
                <c:pt idx="70">
                  <c:v>6.0178258710278404E-2</c:v>
                </c:pt>
                <c:pt idx="71">
                  <c:v>5.6180351617684345E-2</c:v>
                </c:pt>
                <c:pt idx="72">
                  <c:v>5.6817425436488954E-2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6-4077-A65E-4B8BE53E4147}"/>
            </c:ext>
          </c:extLst>
        </c:ser>
        <c:ser>
          <c:idx val="2"/>
          <c:order val="1"/>
          <c:tx>
            <c:strRef>
              <c:f>Portugal_indicadores!$D$1</c:f>
              <c:strCache>
                <c:ptCount val="1"/>
                <c:pt idx="0">
                  <c:v> Proj_Bananas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Portugal_indicadores!$A$2:$A$91</c:f>
              <c:numCache>
                <c:formatCode>@</c:formatCode>
                <c:ptCount val="90"/>
                <c:pt idx="0">
                  <c:v>201907</c:v>
                </c:pt>
                <c:pt idx="1">
                  <c:v>201908</c:v>
                </c:pt>
                <c:pt idx="2">
                  <c:v>201909</c:v>
                </c:pt>
                <c:pt idx="3">
                  <c:v>201910</c:v>
                </c:pt>
                <c:pt idx="4">
                  <c:v>201911</c:v>
                </c:pt>
                <c:pt idx="5">
                  <c:v>201912</c:v>
                </c:pt>
                <c:pt idx="6">
                  <c:v>202001</c:v>
                </c:pt>
                <c:pt idx="7">
                  <c:v>202002</c:v>
                </c:pt>
                <c:pt idx="8">
                  <c:v>202003</c:v>
                </c:pt>
                <c:pt idx="9">
                  <c:v>202004</c:v>
                </c:pt>
                <c:pt idx="10" formatCode="General">
                  <c:v>202005</c:v>
                </c:pt>
                <c:pt idx="11" formatCode="General">
                  <c:v>202006</c:v>
                </c:pt>
                <c:pt idx="12" formatCode="General">
                  <c:v>202007</c:v>
                </c:pt>
                <c:pt idx="13" formatCode="General">
                  <c:v>202008</c:v>
                </c:pt>
                <c:pt idx="14" formatCode="General">
                  <c:v>202009</c:v>
                </c:pt>
                <c:pt idx="15" formatCode="General">
                  <c:v>202010</c:v>
                </c:pt>
                <c:pt idx="16" formatCode="General">
                  <c:v>202011</c:v>
                </c:pt>
                <c:pt idx="17" formatCode="General">
                  <c:v>202012</c:v>
                </c:pt>
                <c:pt idx="18" formatCode="General">
                  <c:v>202101</c:v>
                </c:pt>
                <c:pt idx="19" formatCode="General">
                  <c:v>202102</c:v>
                </c:pt>
                <c:pt idx="20" formatCode="General">
                  <c:v>202103</c:v>
                </c:pt>
                <c:pt idx="21" formatCode="General">
                  <c:v>202104</c:v>
                </c:pt>
                <c:pt idx="22" formatCode="General">
                  <c:v>202105</c:v>
                </c:pt>
                <c:pt idx="23" formatCode="General">
                  <c:v>202106</c:v>
                </c:pt>
                <c:pt idx="24" formatCode="General">
                  <c:v>202107</c:v>
                </c:pt>
                <c:pt idx="25" formatCode="General">
                  <c:v>202108</c:v>
                </c:pt>
                <c:pt idx="26" formatCode="General">
                  <c:v>202109</c:v>
                </c:pt>
                <c:pt idx="27" formatCode="General">
                  <c:v>202110</c:v>
                </c:pt>
                <c:pt idx="28" formatCode="General">
                  <c:v>202111</c:v>
                </c:pt>
                <c:pt idx="29" formatCode="General">
                  <c:v>202112</c:v>
                </c:pt>
                <c:pt idx="30" formatCode="General">
                  <c:v>202201</c:v>
                </c:pt>
                <c:pt idx="31" formatCode="General">
                  <c:v>202202</c:v>
                </c:pt>
                <c:pt idx="32" formatCode="General">
                  <c:v>202203</c:v>
                </c:pt>
                <c:pt idx="33" formatCode="General">
                  <c:v>202204</c:v>
                </c:pt>
                <c:pt idx="34" formatCode="General">
                  <c:v>202205</c:v>
                </c:pt>
                <c:pt idx="35" formatCode="General">
                  <c:v>202206</c:v>
                </c:pt>
                <c:pt idx="36" formatCode="General">
                  <c:v>202207</c:v>
                </c:pt>
                <c:pt idx="37" formatCode="General">
                  <c:v>202208</c:v>
                </c:pt>
                <c:pt idx="38" formatCode="General">
                  <c:v>202209</c:v>
                </c:pt>
                <c:pt idx="39" formatCode="General">
                  <c:v>202210</c:v>
                </c:pt>
                <c:pt idx="40" formatCode="General">
                  <c:v>202211</c:v>
                </c:pt>
                <c:pt idx="41" formatCode="General">
                  <c:v>202212</c:v>
                </c:pt>
                <c:pt idx="42" formatCode="General">
                  <c:v>202301</c:v>
                </c:pt>
                <c:pt idx="43" formatCode="General">
                  <c:v>202302</c:v>
                </c:pt>
                <c:pt idx="44" formatCode="General">
                  <c:v>202303</c:v>
                </c:pt>
                <c:pt idx="45" formatCode="General">
                  <c:v>202304</c:v>
                </c:pt>
                <c:pt idx="46" formatCode="General">
                  <c:v>202305</c:v>
                </c:pt>
                <c:pt idx="47" formatCode="General">
                  <c:v>202306</c:v>
                </c:pt>
                <c:pt idx="48" formatCode="General">
                  <c:v>202307</c:v>
                </c:pt>
                <c:pt idx="49" formatCode="General">
                  <c:v>202308</c:v>
                </c:pt>
                <c:pt idx="50" formatCode="General">
                  <c:v>202309</c:v>
                </c:pt>
                <c:pt idx="51" formatCode="General">
                  <c:v>202310</c:v>
                </c:pt>
                <c:pt idx="52" formatCode="General">
                  <c:v>202311</c:v>
                </c:pt>
                <c:pt idx="53" formatCode="General">
                  <c:v>202312</c:v>
                </c:pt>
                <c:pt idx="54" formatCode="General">
                  <c:v>202401</c:v>
                </c:pt>
                <c:pt idx="55" formatCode="General">
                  <c:v>202402</c:v>
                </c:pt>
                <c:pt idx="56" formatCode="General">
                  <c:v>202403</c:v>
                </c:pt>
                <c:pt idx="57" formatCode="General">
                  <c:v>202404</c:v>
                </c:pt>
                <c:pt idx="58" formatCode="General">
                  <c:v>202405</c:v>
                </c:pt>
                <c:pt idx="59" formatCode="General">
                  <c:v>202406</c:v>
                </c:pt>
                <c:pt idx="60" formatCode="General">
                  <c:v>202407</c:v>
                </c:pt>
                <c:pt idx="61" formatCode="General">
                  <c:v>202408</c:v>
                </c:pt>
                <c:pt idx="62" formatCode="General">
                  <c:v>202409</c:v>
                </c:pt>
                <c:pt idx="63" formatCode="General">
                  <c:v>202410</c:v>
                </c:pt>
                <c:pt idx="64" formatCode="General">
                  <c:v>202411</c:v>
                </c:pt>
                <c:pt idx="65" formatCode="General">
                  <c:v>202412</c:v>
                </c:pt>
                <c:pt idx="66" formatCode="General">
                  <c:v>202501</c:v>
                </c:pt>
                <c:pt idx="67" formatCode="General">
                  <c:v>202502</c:v>
                </c:pt>
                <c:pt idx="68" formatCode="General">
                  <c:v>202503</c:v>
                </c:pt>
                <c:pt idx="69" formatCode="General">
                  <c:v>202504</c:v>
                </c:pt>
                <c:pt idx="70" formatCode="General">
                  <c:v>202505</c:v>
                </c:pt>
                <c:pt idx="71" formatCode="General">
                  <c:v>202506</c:v>
                </c:pt>
                <c:pt idx="72" formatCode="General">
                  <c:v>202507</c:v>
                </c:pt>
                <c:pt idx="73" formatCode="General">
                  <c:v>202508</c:v>
                </c:pt>
                <c:pt idx="74" formatCode="General">
                  <c:v>202509</c:v>
                </c:pt>
                <c:pt idx="75" formatCode="General">
                  <c:v>202510</c:v>
                </c:pt>
                <c:pt idx="76" formatCode="General">
                  <c:v>202511</c:v>
                </c:pt>
                <c:pt idx="77" formatCode="General">
                  <c:v>202512</c:v>
                </c:pt>
                <c:pt idx="78" formatCode="General">
                  <c:v>202601</c:v>
                </c:pt>
                <c:pt idx="79" formatCode="General">
                  <c:v>202602</c:v>
                </c:pt>
                <c:pt idx="80" formatCode="General">
                  <c:v>202603</c:v>
                </c:pt>
                <c:pt idx="81" formatCode="General">
                  <c:v>202604</c:v>
                </c:pt>
                <c:pt idx="82" formatCode="General">
                  <c:v>202605</c:v>
                </c:pt>
                <c:pt idx="83" formatCode="General">
                  <c:v>202606</c:v>
                </c:pt>
                <c:pt idx="84" formatCode="General">
                  <c:v>202607</c:v>
                </c:pt>
                <c:pt idx="85" formatCode="General">
                  <c:v>202608</c:v>
                </c:pt>
                <c:pt idx="86" formatCode="General">
                  <c:v>202609</c:v>
                </c:pt>
                <c:pt idx="87" formatCode="General">
                  <c:v>202610</c:v>
                </c:pt>
                <c:pt idx="88" formatCode="General">
                  <c:v>202611</c:v>
                </c:pt>
                <c:pt idx="89" formatCode="General">
                  <c:v>202612</c:v>
                </c:pt>
              </c:numCache>
            </c:numRef>
          </c:cat>
          <c:val>
            <c:numRef>
              <c:f>Portugal_indicadores!$D$2:$D$91</c:f>
              <c:numCache>
                <c:formatCode>_-* #\ ##0.000_-;\-* #\ ##0.000_-;_-* "-"??_-;_-@_-</c:formatCode>
                <c:ptCount val="90"/>
                <c:pt idx="72" formatCode="_-* #\ ##0.00_-;\-* #\ ##0.00_-;_-* &quot;-&quot;??_-;_-@_-">
                  <c:v>5.6817425436488954E-2</c:v>
                </c:pt>
                <c:pt idx="73" formatCode="_-* #\ ##0.00_-;\-* #\ ##0.00_-;_-* &quot;-&quot;??_-;_-@_-">
                  <c:v>5.2936720222384465E-2</c:v>
                </c:pt>
                <c:pt idx="74" formatCode="_-* #\ ##0.00_-;\-* #\ ##0.00_-;_-* &quot;-&quot;??_-;_-@_-">
                  <c:v>5.2851520222384464E-2</c:v>
                </c:pt>
                <c:pt idx="75" formatCode="_-* #\ ##0.00_-;\-* #\ ##0.00_-;_-* &quot;-&quot;??_-;_-@_-">
                  <c:v>5.3919947810384457E-2</c:v>
                </c:pt>
                <c:pt idx="76" formatCode="_-* #\ ##0.00_-;\-* #\ ##0.00_-;_-* &quot;-&quot;??_-;_-@_-">
                  <c:v>5.3919947810384457E-2</c:v>
                </c:pt>
                <c:pt idx="77" formatCode="_-* #\ ##0.00_-;\-* #\ ##0.00_-;_-* &quot;-&quot;??_-;_-@_-">
                  <c:v>5.2918271378384459E-2</c:v>
                </c:pt>
                <c:pt idx="78" formatCode="_-* #\ ##0.00_-;\-* #\ ##0.00_-;_-* &quot;-&quot;??_-;_-@_-">
                  <c:v>5.3025778498384468E-2</c:v>
                </c:pt>
                <c:pt idx="79" formatCode="_-* #\ ##0.00_-;\-* #\ ##0.00_-;_-* &quot;-&quot;??_-;_-@_-">
                  <c:v>5.3025778498384468E-2</c:v>
                </c:pt>
                <c:pt idx="80" formatCode="_-* #\ ##0.00_-;\-* #\ ##0.00_-;_-* &quot;-&quot;??_-;_-@_-">
                  <c:v>5.2481492194384465E-2</c:v>
                </c:pt>
                <c:pt idx="81" formatCode="_-* #\ ##0.00_-;\-* #\ ##0.00_-;_-* &quot;-&quot;??_-;_-@_-">
                  <c:v>5.1925629694384468E-2</c:v>
                </c:pt>
                <c:pt idx="82" formatCode="_-* #\ ##0.00_-;\-* #\ ##0.00_-;_-* &quot;-&quot;??_-;_-@_-">
                  <c:v>5.1925629694384468E-2</c:v>
                </c:pt>
                <c:pt idx="83" formatCode="_-* #\ ##0.00_-;\-* #\ ##0.00_-;_-* &quot;-&quot;??_-;_-@_-">
                  <c:v>5.1546556966384466E-2</c:v>
                </c:pt>
                <c:pt idx="84" formatCode="_-* #\ ##0.00_-;\-* #\ ##0.00_-;_-* &quot;-&quot;??_-;_-@_-">
                  <c:v>4.6879879515887603E-2</c:v>
                </c:pt>
                <c:pt idx="85" formatCode="_-* #\ ##0.00_-;\-* #\ ##0.00_-;_-* &quot;-&quot;??_-;_-@_-">
                  <c:v>4.6574579515887601E-2</c:v>
                </c:pt>
                <c:pt idx="86" formatCode="_-* #\ ##0.00_-;\-* #\ ##0.00_-;_-* &quot;-&quot;??_-;_-@_-">
                  <c:v>4.1669014496000002E-2</c:v>
                </c:pt>
                <c:pt idx="87" formatCode="_-* #\ ##0.00_-;\-* #\ ##0.00_-;_-* &quot;-&quot;??_-;_-@_-">
                  <c:v>4.1428327596E-2</c:v>
                </c:pt>
                <c:pt idx="88" formatCode="_-* #\ ##0.00_-;\-* #\ ##0.00_-;_-* &quot;-&quot;??_-;_-@_-">
                  <c:v>4.1252547596E-2</c:v>
                </c:pt>
                <c:pt idx="89" formatCode="_-* #\ ##0.00_-;\-* #\ ##0.00_-;_-* &quot;-&quot;??_-;_-@_-">
                  <c:v>3.6705324900000003E-2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C6-4077-A65E-4B8BE53E4147}"/>
            </c:ext>
          </c:extLst>
        </c:ser>
        <c:ser>
          <c:idx val="3"/>
          <c:order val="2"/>
          <c:tx>
            <c:strRef>
              <c:f>Portugal_indicadores!$G$1</c:f>
              <c:strCache>
                <c:ptCount val="1"/>
                <c:pt idx="0">
                  <c:v> Bananas actuel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Portugal_indicadores!$A$2:$A$91</c:f>
              <c:numCache>
                <c:formatCode>@</c:formatCode>
                <c:ptCount val="90"/>
                <c:pt idx="0">
                  <c:v>201907</c:v>
                </c:pt>
                <c:pt idx="1">
                  <c:v>201908</c:v>
                </c:pt>
                <c:pt idx="2">
                  <c:v>201909</c:v>
                </c:pt>
                <c:pt idx="3">
                  <c:v>201910</c:v>
                </c:pt>
                <c:pt idx="4">
                  <c:v>201911</c:v>
                </c:pt>
                <c:pt idx="5">
                  <c:v>201912</c:v>
                </c:pt>
                <c:pt idx="6">
                  <c:v>202001</c:v>
                </c:pt>
                <c:pt idx="7">
                  <c:v>202002</c:v>
                </c:pt>
                <c:pt idx="8">
                  <c:v>202003</c:v>
                </c:pt>
                <c:pt idx="9">
                  <c:v>202004</c:v>
                </c:pt>
                <c:pt idx="10" formatCode="General">
                  <c:v>202005</c:v>
                </c:pt>
                <c:pt idx="11" formatCode="General">
                  <c:v>202006</c:v>
                </c:pt>
                <c:pt idx="12" formatCode="General">
                  <c:v>202007</c:v>
                </c:pt>
                <c:pt idx="13" formatCode="General">
                  <c:v>202008</c:v>
                </c:pt>
                <c:pt idx="14" formatCode="General">
                  <c:v>202009</c:v>
                </c:pt>
                <c:pt idx="15" formatCode="General">
                  <c:v>202010</c:v>
                </c:pt>
                <c:pt idx="16" formatCode="General">
                  <c:v>202011</c:v>
                </c:pt>
                <c:pt idx="17" formatCode="General">
                  <c:v>202012</c:v>
                </c:pt>
                <c:pt idx="18" formatCode="General">
                  <c:v>202101</c:v>
                </c:pt>
                <c:pt idx="19" formatCode="General">
                  <c:v>202102</c:v>
                </c:pt>
                <c:pt idx="20" formatCode="General">
                  <c:v>202103</c:v>
                </c:pt>
                <c:pt idx="21" formatCode="General">
                  <c:v>202104</c:v>
                </c:pt>
                <c:pt idx="22" formatCode="General">
                  <c:v>202105</c:v>
                </c:pt>
                <c:pt idx="23" formatCode="General">
                  <c:v>202106</c:v>
                </c:pt>
                <c:pt idx="24" formatCode="General">
                  <c:v>202107</c:v>
                </c:pt>
                <c:pt idx="25" formatCode="General">
                  <c:v>202108</c:v>
                </c:pt>
                <c:pt idx="26" formatCode="General">
                  <c:v>202109</c:v>
                </c:pt>
                <c:pt idx="27" formatCode="General">
                  <c:v>202110</c:v>
                </c:pt>
                <c:pt idx="28" formatCode="General">
                  <c:v>202111</c:v>
                </c:pt>
                <c:pt idx="29" formatCode="General">
                  <c:v>202112</c:v>
                </c:pt>
                <c:pt idx="30" formatCode="General">
                  <c:v>202201</c:v>
                </c:pt>
                <c:pt idx="31" formatCode="General">
                  <c:v>202202</c:v>
                </c:pt>
                <c:pt idx="32" formatCode="General">
                  <c:v>202203</c:v>
                </c:pt>
                <c:pt idx="33" formatCode="General">
                  <c:v>202204</c:v>
                </c:pt>
                <c:pt idx="34" formatCode="General">
                  <c:v>202205</c:v>
                </c:pt>
                <c:pt idx="35" formatCode="General">
                  <c:v>202206</c:v>
                </c:pt>
                <c:pt idx="36" formatCode="General">
                  <c:v>202207</c:v>
                </c:pt>
                <c:pt idx="37" formatCode="General">
                  <c:v>202208</c:v>
                </c:pt>
                <c:pt idx="38" formatCode="General">
                  <c:v>202209</c:v>
                </c:pt>
                <c:pt idx="39" formatCode="General">
                  <c:v>202210</c:v>
                </c:pt>
                <c:pt idx="40" formatCode="General">
                  <c:v>202211</c:v>
                </c:pt>
                <c:pt idx="41" formatCode="General">
                  <c:v>202212</c:v>
                </c:pt>
                <c:pt idx="42" formatCode="General">
                  <c:v>202301</c:v>
                </c:pt>
                <c:pt idx="43" formatCode="General">
                  <c:v>202302</c:v>
                </c:pt>
                <c:pt idx="44" formatCode="General">
                  <c:v>202303</c:v>
                </c:pt>
                <c:pt idx="45" formatCode="General">
                  <c:v>202304</c:v>
                </c:pt>
                <c:pt idx="46" formatCode="General">
                  <c:v>202305</c:v>
                </c:pt>
                <c:pt idx="47" formatCode="General">
                  <c:v>202306</c:v>
                </c:pt>
                <c:pt idx="48" formatCode="General">
                  <c:v>202307</c:v>
                </c:pt>
                <c:pt idx="49" formatCode="General">
                  <c:v>202308</c:v>
                </c:pt>
                <c:pt idx="50" formatCode="General">
                  <c:v>202309</c:v>
                </c:pt>
                <c:pt idx="51" formatCode="General">
                  <c:v>202310</c:v>
                </c:pt>
                <c:pt idx="52" formatCode="General">
                  <c:v>202311</c:v>
                </c:pt>
                <c:pt idx="53" formatCode="General">
                  <c:v>202312</c:v>
                </c:pt>
                <c:pt idx="54" formatCode="General">
                  <c:v>202401</c:v>
                </c:pt>
                <c:pt idx="55" formatCode="General">
                  <c:v>202402</c:v>
                </c:pt>
                <c:pt idx="56" formatCode="General">
                  <c:v>202403</c:v>
                </c:pt>
                <c:pt idx="57" formatCode="General">
                  <c:v>202404</c:v>
                </c:pt>
                <c:pt idx="58" formatCode="General">
                  <c:v>202405</c:v>
                </c:pt>
                <c:pt idx="59" formatCode="General">
                  <c:v>202406</c:v>
                </c:pt>
                <c:pt idx="60" formatCode="General">
                  <c:v>202407</c:v>
                </c:pt>
                <c:pt idx="61" formatCode="General">
                  <c:v>202408</c:v>
                </c:pt>
                <c:pt idx="62" formatCode="General">
                  <c:v>202409</c:v>
                </c:pt>
                <c:pt idx="63" formatCode="General">
                  <c:v>202410</c:v>
                </c:pt>
                <c:pt idx="64" formatCode="General">
                  <c:v>202411</c:v>
                </c:pt>
                <c:pt idx="65" formatCode="General">
                  <c:v>202412</c:v>
                </c:pt>
                <c:pt idx="66" formatCode="General">
                  <c:v>202501</c:v>
                </c:pt>
                <c:pt idx="67" formatCode="General">
                  <c:v>202502</c:v>
                </c:pt>
                <c:pt idx="68" formatCode="General">
                  <c:v>202503</c:v>
                </c:pt>
                <c:pt idx="69" formatCode="General">
                  <c:v>202504</c:v>
                </c:pt>
                <c:pt idx="70" formatCode="General">
                  <c:v>202505</c:v>
                </c:pt>
                <c:pt idx="71" formatCode="General">
                  <c:v>202506</c:v>
                </c:pt>
                <c:pt idx="72" formatCode="General">
                  <c:v>202507</c:v>
                </c:pt>
                <c:pt idx="73" formatCode="General">
                  <c:v>202508</c:v>
                </c:pt>
                <c:pt idx="74" formatCode="General">
                  <c:v>202509</c:v>
                </c:pt>
                <c:pt idx="75" formatCode="General">
                  <c:v>202510</c:v>
                </c:pt>
                <c:pt idx="76" formatCode="General">
                  <c:v>202511</c:v>
                </c:pt>
                <c:pt idx="77" formatCode="General">
                  <c:v>202512</c:v>
                </c:pt>
                <c:pt idx="78" formatCode="General">
                  <c:v>202601</c:v>
                </c:pt>
                <c:pt idx="79" formatCode="General">
                  <c:v>202602</c:v>
                </c:pt>
                <c:pt idx="80" formatCode="General">
                  <c:v>202603</c:v>
                </c:pt>
                <c:pt idx="81" formatCode="General">
                  <c:v>202604</c:v>
                </c:pt>
                <c:pt idx="82" formatCode="General">
                  <c:v>202605</c:v>
                </c:pt>
                <c:pt idx="83" formatCode="General">
                  <c:v>202606</c:v>
                </c:pt>
                <c:pt idx="84" formatCode="General">
                  <c:v>202607</c:v>
                </c:pt>
                <c:pt idx="85" formatCode="General">
                  <c:v>202608</c:v>
                </c:pt>
                <c:pt idx="86" formatCode="General">
                  <c:v>202609</c:v>
                </c:pt>
                <c:pt idx="87" formatCode="General">
                  <c:v>202610</c:v>
                </c:pt>
                <c:pt idx="88" formatCode="General">
                  <c:v>202611</c:v>
                </c:pt>
                <c:pt idx="89" formatCode="General">
                  <c:v>202612</c:v>
                </c:pt>
              </c:numCache>
            </c:numRef>
          </c:cat>
          <c:val>
            <c:numRef>
              <c:f>Portugal_indicadores!$G$2:$G$91</c:f>
              <c:numCache>
                <c:formatCode>_-* #\ ##0.000_-;\-* #\ ##0.000_-;_-* "-"??_-;_-@_-</c:formatCode>
                <c:ptCount val="90"/>
                <c:pt idx="12">
                  <c:v>3.951803916327E-2</c:v>
                </c:pt>
                <c:pt idx="13">
                  <c:v>3.951803916327E-2</c:v>
                </c:pt>
                <c:pt idx="14">
                  <c:v>3.951803916327E-2</c:v>
                </c:pt>
                <c:pt idx="15">
                  <c:v>3.951803916327E-2</c:v>
                </c:pt>
                <c:pt idx="16">
                  <c:v>3.951803916327E-2</c:v>
                </c:pt>
                <c:pt idx="17">
                  <c:v>3.951803916327E-2</c:v>
                </c:pt>
                <c:pt idx="18">
                  <c:v>3.951803916327E-2</c:v>
                </c:pt>
                <c:pt idx="19">
                  <c:v>3.951803916327E-2</c:v>
                </c:pt>
                <c:pt idx="20">
                  <c:v>3.951803916327E-2</c:v>
                </c:pt>
                <c:pt idx="21">
                  <c:v>3.951803916327E-2</c:v>
                </c:pt>
                <c:pt idx="22">
                  <c:v>3.951803916327E-2</c:v>
                </c:pt>
                <c:pt idx="23">
                  <c:v>3.951803916327E-2</c:v>
                </c:pt>
                <c:pt idx="24">
                  <c:v>3.951803916327E-2</c:v>
                </c:pt>
                <c:pt idx="25">
                  <c:v>3.951803916327E-2</c:v>
                </c:pt>
                <c:pt idx="26">
                  <c:v>3.951803916327E-2</c:v>
                </c:pt>
                <c:pt idx="27">
                  <c:v>3.951803916327E-2</c:v>
                </c:pt>
                <c:pt idx="28">
                  <c:v>3.951803916327E-2</c:v>
                </c:pt>
                <c:pt idx="29">
                  <c:v>3.951803916327E-2</c:v>
                </c:pt>
                <c:pt idx="30">
                  <c:v>3.951803916327E-2</c:v>
                </c:pt>
                <c:pt idx="31">
                  <c:v>3.951803916327E-2</c:v>
                </c:pt>
                <c:pt idx="32">
                  <c:v>3.951803916327E-2</c:v>
                </c:pt>
                <c:pt idx="33">
                  <c:v>3.951803916327E-2</c:v>
                </c:pt>
                <c:pt idx="34">
                  <c:v>3.951803916327E-2</c:v>
                </c:pt>
                <c:pt idx="35">
                  <c:v>3.951803916327E-2</c:v>
                </c:pt>
                <c:pt idx="36">
                  <c:v>3.951803916327E-2</c:v>
                </c:pt>
                <c:pt idx="37">
                  <c:v>3.951803916327E-2</c:v>
                </c:pt>
                <c:pt idx="38">
                  <c:v>3.951803916327E-2</c:v>
                </c:pt>
                <c:pt idx="39">
                  <c:v>3.951803916327E-2</c:v>
                </c:pt>
                <c:pt idx="40">
                  <c:v>3.951803916327E-2</c:v>
                </c:pt>
                <c:pt idx="41">
                  <c:v>3.951803916327E-2</c:v>
                </c:pt>
                <c:pt idx="42">
                  <c:v>3.951803916327E-2</c:v>
                </c:pt>
                <c:pt idx="43">
                  <c:v>3.951803916327E-2</c:v>
                </c:pt>
                <c:pt idx="44">
                  <c:v>3.951803916327E-2</c:v>
                </c:pt>
                <c:pt idx="45">
                  <c:v>3.951803916327E-2</c:v>
                </c:pt>
                <c:pt idx="46">
                  <c:v>3.951803916327E-2</c:v>
                </c:pt>
                <c:pt idx="47">
                  <c:v>3.951803916327E-2</c:v>
                </c:pt>
                <c:pt idx="48">
                  <c:v>3.951803916327E-2</c:v>
                </c:pt>
                <c:pt idx="49">
                  <c:v>3.951803916327E-2</c:v>
                </c:pt>
                <c:pt idx="50">
                  <c:v>3.951803916327E-2</c:v>
                </c:pt>
                <c:pt idx="51">
                  <c:v>3.951803916327E-2</c:v>
                </c:pt>
                <c:pt idx="52">
                  <c:v>3.951803916327E-2</c:v>
                </c:pt>
                <c:pt idx="54">
                  <c:v>7.56582593889637E-2</c:v>
                </c:pt>
                <c:pt idx="55">
                  <c:v>7.56582593889637E-2</c:v>
                </c:pt>
                <c:pt idx="56">
                  <c:v>7.56582593889637E-2</c:v>
                </c:pt>
                <c:pt idx="57">
                  <c:v>7.56582593889637E-2</c:v>
                </c:pt>
                <c:pt idx="58">
                  <c:v>7.56582593889637E-2</c:v>
                </c:pt>
                <c:pt idx="59">
                  <c:v>7.56582593889637E-2</c:v>
                </c:pt>
                <c:pt idx="60">
                  <c:v>7.56582593889637E-2</c:v>
                </c:pt>
                <c:pt idx="61">
                  <c:v>7.56582593889637E-2</c:v>
                </c:pt>
                <c:pt idx="62">
                  <c:v>7.56582593889637E-2</c:v>
                </c:pt>
                <c:pt idx="63">
                  <c:v>7.56582593889637E-2</c:v>
                </c:pt>
                <c:pt idx="64">
                  <c:v>7.56582593889637E-2</c:v>
                </c:pt>
                <c:pt idx="65">
                  <c:v>7.56582593889637E-2</c:v>
                </c:pt>
                <c:pt idx="66">
                  <c:v>7.56582593889637E-2</c:v>
                </c:pt>
                <c:pt idx="67">
                  <c:v>7.56582593889637E-2</c:v>
                </c:pt>
                <c:pt idx="68">
                  <c:v>7.56582593889637E-2</c:v>
                </c:pt>
                <c:pt idx="69">
                  <c:v>7.56582593889637E-2</c:v>
                </c:pt>
                <c:pt idx="70">
                  <c:v>7.56582593889637E-2</c:v>
                </c:pt>
                <c:pt idx="71">
                  <c:v>7.56582593889637E-2</c:v>
                </c:pt>
                <c:pt idx="72">
                  <c:v>7.56582593889637E-2</c:v>
                </c:pt>
                <c:pt idx="73">
                  <c:v>7.56582593889637E-2</c:v>
                </c:pt>
                <c:pt idx="74">
                  <c:v>7.56582593889637E-2</c:v>
                </c:pt>
                <c:pt idx="75">
                  <c:v>7.56582593889637E-2</c:v>
                </c:pt>
                <c:pt idx="76">
                  <c:v>7.56582593889637E-2</c:v>
                </c:pt>
                <c:pt idx="77">
                  <c:v>7.56582593889637E-2</c:v>
                </c:pt>
                <c:pt idx="78">
                  <c:v>7.56582593889637E-2</c:v>
                </c:pt>
                <c:pt idx="79">
                  <c:v>7.56582593889637E-2</c:v>
                </c:pt>
                <c:pt idx="80">
                  <c:v>7.56582593889637E-2</c:v>
                </c:pt>
                <c:pt idx="81">
                  <c:v>7.56582593889637E-2</c:v>
                </c:pt>
                <c:pt idx="82">
                  <c:v>7.56582593889637E-2</c:v>
                </c:pt>
                <c:pt idx="83">
                  <c:v>7.56582593889637E-2</c:v>
                </c:pt>
                <c:pt idx="84">
                  <c:v>7.56582593889637E-2</c:v>
                </c:pt>
                <c:pt idx="85">
                  <c:v>7.56582593889637E-2</c:v>
                </c:pt>
                <c:pt idx="86">
                  <c:v>7.56582593889637E-2</c:v>
                </c:pt>
                <c:pt idx="87">
                  <c:v>7.56582593889637E-2</c:v>
                </c:pt>
                <c:pt idx="88">
                  <c:v>7.56582593889637E-2</c:v>
                </c:pt>
                <c:pt idx="89">
                  <c:v>7.56582593889637E-2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C6-4077-A65E-4B8BE53E4147}"/>
            </c:ext>
          </c:extLst>
        </c:ser>
        <c:ser>
          <c:idx val="0"/>
          <c:order val="3"/>
          <c:tx>
            <c:strRef>
              <c:f>Portugal_indicadores!$C$1</c:f>
              <c:strCache>
                <c:ptCount val="1"/>
                <c:pt idx="0">
                  <c:v> Bananas s/prod22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Portugal_indicadores!$A$2:$A$91</c:f>
              <c:numCache>
                <c:formatCode>@</c:formatCode>
                <c:ptCount val="90"/>
                <c:pt idx="0">
                  <c:v>201907</c:v>
                </c:pt>
                <c:pt idx="1">
                  <c:v>201908</c:v>
                </c:pt>
                <c:pt idx="2">
                  <c:v>201909</c:v>
                </c:pt>
                <c:pt idx="3">
                  <c:v>201910</c:v>
                </c:pt>
                <c:pt idx="4">
                  <c:v>201911</c:v>
                </c:pt>
                <c:pt idx="5">
                  <c:v>201912</c:v>
                </c:pt>
                <c:pt idx="6">
                  <c:v>202001</c:v>
                </c:pt>
                <c:pt idx="7">
                  <c:v>202002</c:v>
                </c:pt>
                <c:pt idx="8">
                  <c:v>202003</c:v>
                </c:pt>
                <c:pt idx="9">
                  <c:v>202004</c:v>
                </c:pt>
                <c:pt idx="10" formatCode="General">
                  <c:v>202005</c:v>
                </c:pt>
                <c:pt idx="11" formatCode="General">
                  <c:v>202006</c:v>
                </c:pt>
                <c:pt idx="12" formatCode="General">
                  <c:v>202007</c:v>
                </c:pt>
                <c:pt idx="13" formatCode="General">
                  <c:v>202008</c:v>
                </c:pt>
                <c:pt idx="14" formatCode="General">
                  <c:v>202009</c:v>
                </c:pt>
                <c:pt idx="15" formatCode="General">
                  <c:v>202010</c:v>
                </c:pt>
                <c:pt idx="16" formatCode="General">
                  <c:v>202011</c:v>
                </c:pt>
                <c:pt idx="17" formatCode="General">
                  <c:v>202012</c:v>
                </c:pt>
                <c:pt idx="18" formatCode="General">
                  <c:v>202101</c:v>
                </c:pt>
                <c:pt idx="19" formatCode="General">
                  <c:v>202102</c:v>
                </c:pt>
                <c:pt idx="20" formatCode="General">
                  <c:v>202103</c:v>
                </c:pt>
                <c:pt idx="21" formatCode="General">
                  <c:v>202104</c:v>
                </c:pt>
                <c:pt idx="22" formatCode="General">
                  <c:v>202105</c:v>
                </c:pt>
                <c:pt idx="23" formatCode="General">
                  <c:v>202106</c:v>
                </c:pt>
                <c:pt idx="24" formatCode="General">
                  <c:v>202107</c:v>
                </c:pt>
                <c:pt idx="25" formatCode="General">
                  <c:v>202108</c:v>
                </c:pt>
                <c:pt idx="26" formatCode="General">
                  <c:v>202109</c:v>
                </c:pt>
                <c:pt idx="27" formatCode="General">
                  <c:v>202110</c:v>
                </c:pt>
                <c:pt idx="28" formatCode="General">
                  <c:v>202111</c:v>
                </c:pt>
                <c:pt idx="29" formatCode="General">
                  <c:v>202112</c:v>
                </c:pt>
                <c:pt idx="30" formatCode="General">
                  <c:v>202201</c:v>
                </c:pt>
                <c:pt idx="31" formatCode="General">
                  <c:v>202202</c:v>
                </c:pt>
                <c:pt idx="32" formatCode="General">
                  <c:v>202203</c:v>
                </c:pt>
                <c:pt idx="33" formatCode="General">
                  <c:v>202204</c:v>
                </c:pt>
                <c:pt idx="34" formatCode="General">
                  <c:v>202205</c:v>
                </c:pt>
                <c:pt idx="35" formatCode="General">
                  <c:v>202206</c:v>
                </c:pt>
                <c:pt idx="36" formatCode="General">
                  <c:v>202207</c:v>
                </c:pt>
                <c:pt idx="37" formatCode="General">
                  <c:v>202208</c:v>
                </c:pt>
                <c:pt idx="38" formatCode="General">
                  <c:v>202209</c:v>
                </c:pt>
                <c:pt idx="39" formatCode="General">
                  <c:v>202210</c:v>
                </c:pt>
                <c:pt idx="40" formatCode="General">
                  <c:v>202211</c:v>
                </c:pt>
                <c:pt idx="41" formatCode="General">
                  <c:v>202212</c:v>
                </c:pt>
                <c:pt idx="42" formatCode="General">
                  <c:v>202301</c:v>
                </c:pt>
                <c:pt idx="43" formatCode="General">
                  <c:v>202302</c:v>
                </c:pt>
                <c:pt idx="44" formatCode="General">
                  <c:v>202303</c:v>
                </c:pt>
                <c:pt idx="45" formatCode="General">
                  <c:v>202304</c:v>
                </c:pt>
                <c:pt idx="46" formatCode="General">
                  <c:v>202305</c:v>
                </c:pt>
                <c:pt idx="47" formatCode="General">
                  <c:v>202306</c:v>
                </c:pt>
                <c:pt idx="48" formatCode="General">
                  <c:v>202307</c:v>
                </c:pt>
                <c:pt idx="49" formatCode="General">
                  <c:v>202308</c:v>
                </c:pt>
                <c:pt idx="50" formatCode="General">
                  <c:v>202309</c:v>
                </c:pt>
                <c:pt idx="51" formatCode="General">
                  <c:v>202310</c:v>
                </c:pt>
                <c:pt idx="52" formatCode="General">
                  <c:v>202311</c:v>
                </c:pt>
                <c:pt idx="53" formatCode="General">
                  <c:v>202312</c:v>
                </c:pt>
                <c:pt idx="54" formatCode="General">
                  <c:v>202401</c:v>
                </c:pt>
                <c:pt idx="55" formatCode="General">
                  <c:v>202402</c:v>
                </c:pt>
                <c:pt idx="56" formatCode="General">
                  <c:v>202403</c:v>
                </c:pt>
                <c:pt idx="57" formatCode="General">
                  <c:v>202404</c:v>
                </c:pt>
                <c:pt idx="58" formatCode="General">
                  <c:v>202405</c:v>
                </c:pt>
                <c:pt idx="59" formatCode="General">
                  <c:v>202406</c:v>
                </c:pt>
                <c:pt idx="60" formatCode="General">
                  <c:v>202407</c:v>
                </c:pt>
                <c:pt idx="61" formatCode="General">
                  <c:v>202408</c:v>
                </c:pt>
                <c:pt idx="62" formatCode="General">
                  <c:v>202409</c:v>
                </c:pt>
                <c:pt idx="63" formatCode="General">
                  <c:v>202410</c:v>
                </c:pt>
                <c:pt idx="64" formatCode="General">
                  <c:v>202411</c:v>
                </c:pt>
                <c:pt idx="65" formatCode="General">
                  <c:v>202412</c:v>
                </c:pt>
                <c:pt idx="66" formatCode="General">
                  <c:v>202501</c:v>
                </c:pt>
                <c:pt idx="67" formatCode="General">
                  <c:v>202502</c:v>
                </c:pt>
                <c:pt idx="68" formatCode="General">
                  <c:v>202503</c:v>
                </c:pt>
                <c:pt idx="69" formatCode="General">
                  <c:v>202504</c:v>
                </c:pt>
                <c:pt idx="70" formatCode="General">
                  <c:v>202505</c:v>
                </c:pt>
                <c:pt idx="71" formatCode="General">
                  <c:v>202506</c:v>
                </c:pt>
                <c:pt idx="72" formatCode="General">
                  <c:v>202507</c:v>
                </c:pt>
                <c:pt idx="73" formatCode="General">
                  <c:v>202508</c:v>
                </c:pt>
                <c:pt idx="74" formatCode="General">
                  <c:v>202509</c:v>
                </c:pt>
                <c:pt idx="75" formatCode="General">
                  <c:v>202510</c:v>
                </c:pt>
                <c:pt idx="76" formatCode="General">
                  <c:v>202511</c:v>
                </c:pt>
                <c:pt idx="77" formatCode="General">
                  <c:v>202512</c:v>
                </c:pt>
                <c:pt idx="78" formatCode="General">
                  <c:v>202601</c:v>
                </c:pt>
                <c:pt idx="79" formatCode="General">
                  <c:v>202602</c:v>
                </c:pt>
                <c:pt idx="80" formatCode="General">
                  <c:v>202603</c:v>
                </c:pt>
                <c:pt idx="81" formatCode="General">
                  <c:v>202604</c:v>
                </c:pt>
                <c:pt idx="82" formatCode="General">
                  <c:v>202605</c:v>
                </c:pt>
                <c:pt idx="83" formatCode="General">
                  <c:v>202606</c:v>
                </c:pt>
                <c:pt idx="84" formatCode="General">
                  <c:v>202607</c:v>
                </c:pt>
                <c:pt idx="85" formatCode="General">
                  <c:v>202608</c:v>
                </c:pt>
                <c:pt idx="86" formatCode="General">
                  <c:v>202609</c:v>
                </c:pt>
                <c:pt idx="87" formatCode="General">
                  <c:v>202610</c:v>
                </c:pt>
                <c:pt idx="88" formatCode="General">
                  <c:v>202611</c:v>
                </c:pt>
                <c:pt idx="89" formatCode="General">
                  <c:v>202612</c:v>
                </c:pt>
              </c:numCache>
            </c:numRef>
          </c:cat>
          <c:val>
            <c:numRef>
              <c:f>Portugal_indicadores!$C$2:$C$79</c:f>
              <c:numCache>
                <c:formatCode>_-* #\ ##0.000_-;\-* #\ ##0.000_-;_-* "-"??_-;_-@_-</c:formatCode>
                <c:ptCount val="78"/>
                <c:pt idx="12">
                  <c:v>4.3437441744568199E-2</c:v>
                </c:pt>
                <c:pt idx="13">
                  <c:v>4.013394693902253E-2</c:v>
                </c:pt>
                <c:pt idx="14">
                  <c:v>4.0497163488207054E-2</c:v>
                </c:pt>
                <c:pt idx="15">
                  <c:v>4.1286086407357758E-2</c:v>
                </c:pt>
                <c:pt idx="16">
                  <c:v>4.2187942719767939E-2</c:v>
                </c:pt>
                <c:pt idx="17">
                  <c:v>4.2471299513697179E-2</c:v>
                </c:pt>
                <c:pt idx="18">
                  <c:v>4.1920834853606155E-2</c:v>
                </c:pt>
                <c:pt idx="19">
                  <c:v>3.9108570834952013E-2</c:v>
                </c:pt>
                <c:pt idx="20">
                  <c:v>3.6046841867549403E-2</c:v>
                </c:pt>
                <c:pt idx="21">
                  <c:v>2.7355237825420022E-2</c:v>
                </c:pt>
                <c:pt idx="22">
                  <c:v>2.3559644871238E-2</c:v>
                </c:pt>
                <c:pt idx="23">
                  <c:v>2.3568044510027367E-2</c:v>
                </c:pt>
                <c:pt idx="24">
                  <c:v>2.5690669143998725E-2</c:v>
                </c:pt>
                <c:pt idx="25">
                  <c:v>2.5819416788303438E-2</c:v>
                </c:pt>
                <c:pt idx="26">
                  <c:v>2.673670973575067E-2</c:v>
                </c:pt>
                <c:pt idx="27">
                  <c:v>2.7689090110515058E-2</c:v>
                </c:pt>
                <c:pt idx="28">
                  <c:v>2.8446148389824785E-2</c:v>
                </c:pt>
                <c:pt idx="29">
                  <c:v>2.9269147842478457E-2</c:v>
                </c:pt>
                <c:pt idx="30">
                  <c:v>2.7318124162630037E-2</c:v>
                </c:pt>
                <c:pt idx="31">
                  <c:v>2.7578907067958042E-2</c:v>
                </c:pt>
                <c:pt idx="32">
                  <c:v>2.8314983742788034E-2</c:v>
                </c:pt>
                <c:pt idx="33">
                  <c:v>3.2445718675921956E-2</c:v>
                </c:pt>
                <c:pt idx="34">
                  <c:v>3.3679873092941771E-2</c:v>
                </c:pt>
                <c:pt idx="35">
                  <c:v>3.5237067599472469E-2</c:v>
                </c:pt>
                <c:pt idx="36">
                  <c:v>3.6317405655292338E-2</c:v>
                </c:pt>
                <c:pt idx="37">
                  <c:v>4.1386621770823688E-2</c:v>
                </c:pt>
                <c:pt idx="38">
                  <c:v>4.2502617789220015E-2</c:v>
                </c:pt>
                <c:pt idx="39">
                  <c:v>4.5631669561585965E-2</c:v>
                </c:pt>
                <c:pt idx="40">
                  <c:v>5.1418023642256977E-2</c:v>
                </c:pt>
                <c:pt idx="41">
                  <c:v>5.6537866649608658E-2</c:v>
                </c:pt>
                <c:pt idx="42">
                  <c:v>4.5249267684519312E-2</c:v>
                </c:pt>
                <c:pt idx="43">
                  <c:v>4.6629016565678201E-2</c:v>
                </c:pt>
                <c:pt idx="44">
                  <c:v>4.8806110632199175E-2</c:v>
                </c:pt>
                <c:pt idx="45">
                  <c:v>4.918562321157903E-2</c:v>
                </c:pt>
                <c:pt idx="46">
                  <c:v>4.8997570630168678E-2</c:v>
                </c:pt>
                <c:pt idx="47">
                  <c:v>5.00889343373958E-2</c:v>
                </c:pt>
                <c:pt idx="48">
                  <c:v>5.1728581789779529E-2</c:v>
                </c:pt>
                <c:pt idx="49">
                  <c:v>5.0980923449129217E-2</c:v>
                </c:pt>
                <c:pt idx="50">
                  <c:v>4.592463453161455E-2</c:v>
                </c:pt>
                <c:pt idx="51">
                  <c:v>5.0326454586494394E-2</c:v>
                </c:pt>
                <c:pt idx="52">
                  <c:v>5.2245681423212627E-2</c:v>
                </c:pt>
                <c:pt idx="53">
                  <c:v>4.4757069496038866E-2</c:v>
                </c:pt>
                <c:pt idx="54">
                  <c:v>4.228034757753777E-2</c:v>
                </c:pt>
                <c:pt idx="55">
                  <c:v>4.6871655924478721E-2</c:v>
                </c:pt>
                <c:pt idx="56">
                  <c:v>5.0256146543610145E-2</c:v>
                </c:pt>
                <c:pt idx="57">
                  <c:v>4.9836932807369609E-2</c:v>
                </c:pt>
                <c:pt idx="58">
                  <c:v>5.1836859365541298E-2</c:v>
                </c:pt>
                <c:pt idx="59">
                  <c:v>5.6354127939814029E-2</c:v>
                </c:pt>
                <c:pt idx="60">
                  <c:v>5.7186475451539383E-2</c:v>
                </c:pt>
                <c:pt idx="61">
                  <c:v>5.9794329325227977E-2</c:v>
                </c:pt>
                <c:pt idx="62">
                  <c:v>6.0387699722698022E-2</c:v>
                </c:pt>
                <c:pt idx="63">
                  <c:v>6.0609796043892029E-2</c:v>
                </c:pt>
                <c:pt idx="64">
                  <c:v>5.4368798962878044E-2</c:v>
                </c:pt>
                <c:pt idx="65">
                  <c:v>5.3372002900559046E-2</c:v>
                </c:pt>
                <c:pt idx="66">
                  <c:v>5.4706977734652544E-2</c:v>
                </c:pt>
                <c:pt idx="67">
                  <c:v>5.4916509076109246E-2</c:v>
                </c:pt>
                <c:pt idx="68">
                  <c:v>5.1889657562178206E-2</c:v>
                </c:pt>
                <c:pt idx="69">
                  <c:v>5.5663456434042469E-2</c:v>
                </c:pt>
                <c:pt idx="70">
                  <c:v>6.0178258710278404E-2</c:v>
                </c:pt>
                <c:pt idx="71">
                  <c:v>5.6180351617684345E-2</c:v>
                </c:pt>
                <c:pt idx="72">
                  <c:v>5.6817425436488954E-2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1C6-4077-A65E-4B8BE53E4147}"/>
            </c:ext>
          </c:extLst>
        </c:ser>
        <c:ser>
          <c:idx val="4"/>
          <c:order val="4"/>
          <c:tx>
            <c:strRef>
              <c:f>Portugal_indicadores!$E$1</c:f>
              <c:strCache>
                <c:ptCount val="1"/>
                <c:pt idx="0">
                  <c:v> Proj_Bananas 2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Portugal_indicadores!$E$2:$E$91</c:f>
              <c:numCache>
                <c:formatCode>_-* #\ ##0.000_-;\-* #\ ##0.000_-;_-* "-"??_-;_-@_-</c:formatCode>
                <c:ptCount val="90"/>
                <c:pt idx="72" formatCode="_-* #\ ##0.00_-;\-* #\ ##0.00_-;_-* &quot;-&quot;??_-;_-@_-">
                  <c:v>5.6817425436488954E-2</c:v>
                </c:pt>
                <c:pt idx="73" formatCode="_-* #\ ##0.00_-;\-* #\ ##0.00_-;_-* &quot;-&quot;??_-;_-@_-">
                  <c:v>4.8041119795999995E-2</c:v>
                </c:pt>
                <c:pt idx="74" formatCode="_-* #\ ##0.00_-;\-* #\ ##0.00_-;_-* &quot;-&quot;??_-;_-@_-">
                  <c:v>4.7375419795999997E-2</c:v>
                </c:pt>
                <c:pt idx="75" formatCode="_-* #\ ##0.00_-;\-* #\ ##0.00_-;_-* &quot;-&quot;??_-;_-@_-">
                  <c:v>4.8043745151999995E-2</c:v>
                </c:pt>
                <c:pt idx="76" formatCode="_-* #\ ##0.00_-;\-* #\ ##0.00_-;_-* &quot;-&quot;??_-;_-@_-">
                  <c:v>4.8176885151999999E-2</c:v>
                </c:pt>
                <c:pt idx="77" formatCode="_-* #\ ##0.00_-;\-* #\ ##0.00_-;_-* &quot;-&quot;??_-;_-@_-">
                  <c:v>4.7786975151999991E-2</c:v>
                </c:pt>
                <c:pt idx="78" formatCode="_-* #\ ##0.00_-;\-* #\ ##0.00_-;_-* &quot;-&quot;??_-;_-@_-">
                  <c:v>4.763539E-2</c:v>
                </c:pt>
                <c:pt idx="79" formatCode="_-* #\ ##0.00_-;\-* #\ ##0.00_-;_-* &quot;-&quot;??_-;_-@_-">
                  <c:v>4.7930199999999999E-2</c:v>
                </c:pt>
                <c:pt idx="80" formatCode="_-* #\ ##0.00_-;\-* #\ ##0.00_-;_-* &quot;-&quot;??_-;_-@_-">
                  <c:v>4.6865079999999996E-2</c:v>
                </c:pt>
                <c:pt idx="81" formatCode="_-* #\ ##0.00_-;\-* #\ ##0.00_-;_-* &quot;-&quot;??_-;_-@_-">
                  <c:v>4.9551732500000001E-2</c:v>
                </c:pt>
                <c:pt idx="82" formatCode="_-* #\ ##0.00_-;\-* #\ ##0.00_-;_-* &quot;-&quot;??_-;_-@_-">
                  <c:v>4.8353472500000001E-2</c:v>
                </c:pt>
                <c:pt idx="83" formatCode="_-* #\ ##0.00_-;\-* #\ ##0.00_-;_-* &quot;-&quot;??_-;_-@_-">
                  <c:v>4.7668752499999995E-2</c:v>
                </c:pt>
                <c:pt idx="84" formatCode="_-* #\ ##0.00_-;\-* #\ ##0.00_-;_-* &quot;-&quot;??_-;_-@_-">
                  <c:v>4.6802234999999998E-2</c:v>
                </c:pt>
                <c:pt idx="85" formatCode="_-* #\ ##0.00_-;\-* #\ ##0.00_-;_-* &quot;-&quot;??_-;_-@_-">
                  <c:v>4.6688115000000002E-2</c:v>
                </c:pt>
                <c:pt idx="86" formatCode="_-* #\ ##0.00_-;\-* #\ ##0.00_-;_-* &quot;-&quot;??_-;_-@_-">
                  <c:v>4.6640564999999995E-2</c:v>
                </c:pt>
                <c:pt idx="87" formatCode="_-* #\ ##0.00_-;\-* #\ ##0.00_-;_-* &quot;-&quot;??_-;_-@_-">
                  <c:v>4.6066047499999999E-2</c:v>
                </c:pt>
                <c:pt idx="88" formatCode="_-* #\ ##0.00_-;\-* #\ ##0.00_-;_-* &quot;-&quot;??_-;_-@_-">
                  <c:v>4.5077007500000002E-2</c:v>
                </c:pt>
                <c:pt idx="89" formatCode="_-* #\ ##0.00_-;\-* #\ ##0.00_-;_-* &quot;-&quot;??_-;_-@_-">
                  <c:v>4.41545375E-2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0-43C5-ACF1-3089A5D81A29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Portugal_indicadores!$F$1:$F$91</c:f>
              <c:numCache>
                <c:formatCode>_-* #\ ##0.000_-;\-* #\ ##0.000_-;_-* "-"??_-;_-@_-</c:formatCode>
                <c:ptCount val="91"/>
                <c:pt idx="0">
                  <c:v>0</c:v>
                </c:pt>
                <c:pt idx="72" formatCode="_-* #\ ##0.00_-;\-* #\ ##0.00_-;_-* &quot;-&quot;??_-;_-@_-">
                  <c:v>5.6180351617684345E-2</c:v>
                </c:pt>
                <c:pt idx="73">
                  <c:v>5.6817425436488954E-2</c:v>
                </c:pt>
                <c:pt idx="74">
                  <c:v>6.0464999999999998E-2</c:v>
                </c:pt>
                <c:pt idx="75">
                  <c:v>6.012E-2</c:v>
                </c:pt>
                <c:pt idx="76">
                  <c:v>5.8892E-2</c:v>
                </c:pt>
                <c:pt idx="77">
                  <c:v>5.9152999999999997E-2</c:v>
                </c:pt>
                <c:pt idx="78">
                  <c:v>5.8210999999999999E-2</c:v>
                </c:pt>
                <c:pt idx="79">
                  <c:v>6.1734999999999998E-2</c:v>
                </c:pt>
                <c:pt idx="80">
                  <c:v>6.0671000000000003E-2</c:v>
                </c:pt>
                <c:pt idx="81">
                  <c:v>6.0065E-2</c:v>
                </c:pt>
                <c:pt idx="82">
                  <c:v>5.9237999999999999E-2</c:v>
                </c:pt>
                <c:pt idx="83">
                  <c:v>5.8702999999999998E-2</c:v>
                </c:pt>
                <c:pt idx="84">
                  <c:v>5.8659999999999997E-2</c:v>
                </c:pt>
                <c:pt idx="85">
                  <c:v>5.7981999999999999E-2</c:v>
                </c:pt>
                <c:pt idx="86">
                  <c:v>5.7105000000000003E-2</c:v>
                </c:pt>
                <c:pt idx="87">
                  <c:v>5.6286999999999997E-2</c:v>
                </c:pt>
                <c:pt idx="88">
                  <c:v>5.5502000000000003E-2</c:v>
                </c:pt>
                <c:pt idx="89">
                  <c:v>5.4870000000000002E-2</c:v>
                </c:pt>
                <c:pt idx="90">
                  <c:v>5.4380999999999999E-2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7F-4D45-A562-ACDE023D2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35215"/>
        <c:axId val="68228559"/>
      </c:lineChart>
      <c:catAx>
        <c:axId val="68235215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28559"/>
        <c:crosses val="autoZero"/>
        <c:auto val="1"/>
        <c:lblAlgn val="ctr"/>
        <c:lblOffset val="100"/>
        <c:tickLblSkip val="1"/>
        <c:noMultiLvlLbl val="0"/>
      </c:catAx>
      <c:valAx>
        <c:axId val="68228559"/>
        <c:scaling>
          <c:orientation val="minMax"/>
        </c:scaling>
        <c:delete val="0"/>
        <c:axPos val="l"/>
        <c:numFmt formatCode="_-* #\ ##0.000_-;\-* #\ ##0.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3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636159</xdr:colOff>
      <xdr:row>41</xdr:row>
      <xdr:rowOff>175208</xdr:rowOff>
    </xdr:from>
    <xdr:to>
      <xdr:col>24</xdr:col>
      <xdr:colOff>300181</xdr:colOff>
      <xdr:row>57</xdr:row>
      <xdr:rowOff>83134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59531</xdr:colOff>
      <xdr:row>5</xdr:row>
      <xdr:rowOff>32543</xdr:rowOff>
    </xdr:from>
    <xdr:to>
      <xdr:col>33</xdr:col>
      <xdr:colOff>48535</xdr:colOff>
      <xdr:row>6</xdr:row>
      <xdr:rowOff>162734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50C2DF-66E0-4767-B1A3-95A141025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52219" y="1485106"/>
          <a:ext cx="2254366" cy="3175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f38pu02.cm-cic.fr/2025/04-Imparidade%20Risco/3.%20Modelo%20Imparidade/An&#225;lises%20Adicionais/Evolution_taux%20defaut%2012m_2025_Avec_FW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ivot"/>
      <sheetName val="Grafico_avec_FWL"/>
    </sheetNames>
    <sheetDataSet>
      <sheetData sheetId="0" refreshError="1"/>
      <sheetData sheetId="1" refreshError="1"/>
      <sheetData sheetId="2" refreshError="1">
        <row r="5">
          <cell r="AD5">
            <v>3.951803916327E-2</v>
          </cell>
          <cell r="AE5">
            <v>4.3437441744568199E-2</v>
          </cell>
        </row>
        <row r="6">
          <cell r="AD6">
            <v>3.951803916327E-2</v>
          </cell>
          <cell r="AE6">
            <v>4.013394693902253E-2</v>
          </cell>
        </row>
        <row r="7">
          <cell r="AD7">
            <v>3.951803916327E-2</v>
          </cell>
          <cell r="AE7">
            <v>4.0497163488207054E-2</v>
          </cell>
        </row>
        <row r="8">
          <cell r="AD8">
            <v>3.951803916327E-2</v>
          </cell>
          <cell r="AE8">
            <v>4.1286086407357758E-2</v>
          </cell>
        </row>
        <row r="9">
          <cell r="AD9">
            <v>3.951803916327E-2</v>
          </cell>
          <cell r="AE9">
            <v>4.2187942719767939E-2</v>
          </cell>
        </row>
        <row r="10">
          <cell r="AD10">
            <v>3.951803916327E-2</v>
          </cell>
          <cell r="AE10">
            <v>4.2471299513697179E-2</v>
          </cell>
        </row>
        <row r="11">
          <cell r="AD11">
            <v>3.951803916327E-2</v>
          </cell>
          <cell r="AE11">
            <v>4.1920834853606155E-2</v>
          </cell>
        </row>
        <row r="12">
          <cell r="AD12">
            <v>3.951803916327E-2</v>
          </cell>
          <cell r="AE12">
            <v>3.9108570834952013E-2</v>
          </cell>
        </row>
        <row r="13">
          <cell r="AD13">
            <v>3.951803916327E-2</v>
          </cell>
          <cell r="AE13">
            <v>3.6046841867549403E-2</v>
          </cell>
        </row>
        <row r="14">
          <cell r="AD14">
            <v>3.951803916327E-2</v>
          </cell>
          <cell r="AE14">
            <v>2.7355237825420022E-2</v>
          </cell>
        </row>
        <row r="15">
          <cell r="AD15">
            <v>3.951803916327E-2</v>
          </cell>
          <cell r="AE15">
            <v>2.3559644871238E-2</v>
          </cell>
        </row>
        <row r="16">
          <cell r="AD16">
            <v>3.951803916327E-2</v>
          </cell>
          <cell r="AE16">
            <v>2.3568044510027367E-2</v>
          </cell>
        </row>
        <row r="17">
          <cell r="AD17">
            <v>3.951803916327E-2</v>
          </cell>
          <cell r="AE17">
            <v>2.5690669143998725E-2</v>
          </cell>
        </row>
        <row r="18">
          <cell r="AD18">
            <v>3.951803916327E-2</v>
          </cell>
          <cell r="AE18">
            <v>2.5819416788303438E-2</v>
          </cell>
        </row>
        <row r="19">
          <cell r="AD19">
            <v>3.951803916327E-2</v>
          </cell>
          <cell r="AE19">
            <v>2.673670973575067E-2</v>
          </cell>
        </row>
        <row r="20">
          <cell r="AD20">
            <v>3.951803916327E-2</v>
          </cell>
          <cell r="AE20">
            <v>2.7689090110515058E-2</v>
          </cell>
        </row>
        <row r="21">
          <cell r="AD21">
            <v>3.951803916327E-2</v>
          </cell>
          <cell r="AE21">
            <v>2.8446148389824785E-2</v>
          </cell>
        </row>
        <row r="22">
          <cell r="AD22">
            <v>3.951803916327E-2</v>
          </cell>
          <cell r="AE22">
            <v>2.9269147842478457E-2</v>
          </cell>
        </row>
        <row r="23">
          <cell r="AD23">
            <v>3.951803916327E-2</v>
          </cell>
          <cell r="AE23">
            <v>2.7318124162630037E-2</v>
          </cell>
        </row>
        <row r="24">
          <cell r="AD24">
            <v>3.951803916327E-2</v>
          </cell>
          <cell r="AE24">
            <v>2.7578907067958042E-2</v>
          </cell>
        </row>
        <row r="25">
          <cell r="AD25">
            <v>3.951803916327E-2</v>
          </cell>
          <cell r="AE25">
            <v>2.8314983742788034E-2</v>
          </cell>
        </row>
        <row r="26">
          <cell r="AD26">
            <v>3.951803916327E-2</v>
          </cell>
          <cell r="AE26">
            <v>3.2445718675921956E-2</v>
          </cell>
        </row>
        <row r="27">
          <cell r="AD27">
            <v>3.951803916327E-2</v>
          </cell>
          <cell r="AE27">
            <v>3.3679873092941771E-2</v>
          </cell>
        </row>
        <row r="28">
          <cell r="AD28">
            <v>3.951803916327E-2</v>
          </cell>
          <cell r="AE28">
            <v>3.5237067599472469E-2</v>
          </cell>
        </row>
        <row r="29">
          <cell r="AD29">
            <v>3.951803916327E-2</v>
          </cell>
          <cell r="AE29">
            <v>3.6317405655292338E-2</v>
          </cell>
        </row>
        <row r="30">
          <cell r="AD30">
            <v>3.951803916327E-2</v>
          </cell>
          <cell r="AE30">
            <v>4.1386621770823688E-2</v>
          </cell>
        </row>
        <row r="31">
          <cell r="AD31">
            <v>3.951803916327E-2</v>
          </cell>
          <cell r="AE31">
            <v>4.2502617789220015E-2</v>
          </cell>
        </row>
        <row r="32">
          <cell r="AD32">
            <v>3.951803916327E-2</v>
          </cell>
          <cell r="AE32">
            <v>4.5631669561585965E-2</v>
          </cell>
        </row>
        <row r="33">
          <cell r="AD33">
            <v>3.951803916327E-2</v>
          </cell>
          <cell r="AE33">
            <v>5.1418023642256977E-2</v>
          </cell>
        </row>
        <row r="34">
          <cell r="AD34">
            <v>3.951803916327E-2</v>
          </cell>
          <cell r="AE34">
            <v>5.6537866649608658E-2</v>
          </cell>
          <cell r="AF34">
            <v>5.6537866649608658E-2</v>
          </cell>
        </row>
        <row r="35">
          <cell r="AD35">
            <v>3.951803916327E-2</v>
          </cell>
          <cell r="AE35">
            <v>5.9207142334392587E-2</v>
          </cell>
          <cell r="AF35">
            <v>4.5249267684519312E-2</v>
          </cell>
        </row>
        <row r="36">
          <cell r="AD36">
            <v>3.951803916327E-2</v>
          </cell>
          <cell r="AE36">
            <v>6.4510120705673538E-2</v>
          </cell>
          <cell r="AF36">
            <v>4.6629016565678201E-2</v>
          </cell>
        </row>
        <row r="37">
          <cell r="AD37">
            <v>3.951803916327E-2</v>
          </cell>
          <cell r="AE37">
            <v>7.1182878239680517E-2</v>
          </cell>
          <cell r="AF37">
            <v>4.8806110632199175E-2</v>
          </cell>
        </row>
        <row r="38">
          <cell r="AD38">
            <v>3.951803916327E-2</v>
          </cell>
          <cell r="AE38">
            <v>7.6832711349003893E-2</v>
          </cell>
          <cell r="AF38">
            <v>4.918562321157903E-2</v>
          </cell>
        </row>
        <row r="39">
          <cell r="AD39">
            <v>3.951803916327E-2</v>
          </cell>
          <cell r="AE39">
            <v>8.0064163564915261E-2</v>
          </cell>
          <cell r="AF39">
            <v>4.8997570630168678E-2</v>
          </cell>
        </row>
        <row r="40">
          <cell r="AD40">
            <v>3.951803916327E-2</v>
          </cell>
          <cell r="AE40">
            <v>8.330227284746658E-2</v>
          </cell>
          <cell r="AF40">
            <v>5.00889343373958E-2</v>
          </cell>
        </row>
        <row r="41">
          <cell r="AD41">
            <v>3.951803916327E-2</v>
          </cell>
          <cell r="AE41">
            <v>8.6609612439609365E-2</v>
          </cell>
          <cell r="AF41">
            <v>5.1728581789779529E-2</v>
          </cell>
        </row>
        <row r="42">
          <cell r="AD42">
            <v>3.951803916327E-2</v>
          </cell>
          <cell r="AE42">
            <v>8.8940591329730104E-2</v>
          </cell>
          <cell r="AF42">
            <v>5.0980923449129217E-2</v>
          </cell>
        </row>
        <row r="43">
          <cell r="AD43">
            <v>3.951803916327E-2</v>
          </cell>
          <cell r="AE43">
            <v>8.5663988130107657E-2</v>
          </cell>
          <cell r="AF43">
            <v>4.592463453161455E-2</v>
          </cell>
        </row>
        <row r="44">
          <cell r="AD44">
            <v>3.951803916327E-2</v>
          </cell>
          <cell r="AE44">
            <v>8.7587930073862577E-2</v>
          </cell>
          <cell r="AF44">
            <v>5.0326454586494394E-2</v>
          </cell>
        </row>
        <row r="45">
          <cell r="AD45">
            <v>3.951803916327E-2</v>
          </cell>
          <cell r="AE45">
            <v>8.6181570517426295E-2</v>
          </cell>
          <cell r="AF45">
            <v>5.2245681423212627E-2</v>
          </cell>
        </row>
        <row r="46">
          <cell r="AE46">
            <v>8.2700900180251988E-2</v>
          </cell>
          <cell r="AF46">
            <v>4.4757069496038866E-2</v>
          </cell>
        </row>
        <row r="47">
          <cell r="AD47">
            <v>7.56582593889637E-2</v>
          </cell>
          <cell r="AE47">
            <v>7.8116859541138464E-2</v>
          </cell>
          <cell r="AF47">
            <v>4.228034757753777E-2</v>
          </cell>
        </row>
        <row r="48">
          <cell r="AD48">
            <v>7.56582593889637E-2</v>
          </cell>
          <cell r="AE48">
            <v>7.8541085683690753E-2</v>
          </cell>
          <cell r="AF48">
            <v>4.6871655924478721E-2</v>
          </cell>
        </row>
        <row r="49">
          <cell r="AD49">
            <v>7.56582593889637E-2</v>
          </cell>
          <cell r="AE49">
            <v>7.9913248604454104E-2</v>
          </cell>
          <cell r="AF49">
            <v>5.0256146543610145E-2</v>
          </cell>
        </row>
        <row r="50">
          <cell r="AD50">
            <v>7.56582593889637E-2</v>
          </cell>
          <cell r="AE50">
            <v>7.6047458843195984E-2</v>
          </cell>
          <cell r="AF50">
            <v>4.9836932807369609E-2</v>
          </cell>
        </row>
        <row r="51">
          <cell r="AD51">
            <v>7.56582593889637E-2</v>
          </cell>
          <cell r="AE51">
            <v>7.3365349718296224E-2</v>
          </cell>
          <cell r="AF51">
            <v>5.1836859365541298E-2</v>
          </cell>
        </row>
        <row r="52">
          <cell r="AD52">
            <v>7.56582593889637E-2</v>
          </cell>
          <cell r="AE52">
            <v>7.4709829845040696E-2</v>
          </cell>
          <cell r="AF52">
            <v>5.6354127939814029E-2</v>
          </cell>
        </row>
        <row r="53">
          <cell r="AD53">
            <v>7.56582593889637E-2</v>
          </cell>
          <cell r="AE53">
            <v>7.2452310960685745E-2</v>
          </cell>
          <cell r="AF53">
            <v>5.7186475451539383E-2</v>
          </cell>
        </row>
        <row r="54">
          <cell r="AD54">
            <v>7.56582593889637E-2</v>
          </cell>
          <cell r="AE54">
            <v>7.2553379598873133E-2</v>
          </cell>
          <cell r="AF54">
            <v>5.9794329325227977E-2</v>
          </cell>
        </row>
        <row r="55">
          <cell r="AD55">
            <v>7.56582593889637E-2</v>
          </cell>
          <cell r="AE55">
            <v>6.9116032360326277E-2</v>
          </cell>
          <cell r="AF55">
            <v>6.0387699722698022E-2</v>
          </cell>
        </row>
        <row r="56">
          <cell r="AD56">
            <v>7.56582593889637E-2</v>
          </cell>
          <cell r="AE56">
            <v>6.4832587234437189E-2</v>
          </cell>
          <cell r="AF56">
            <v>6.0609796043892029E-2</v>
          </cell>
        </row>
        <row r="57">
          <cell r="AD57">
            <v>7.56582593889637E-2</v>
          </cell>
          <cell r="AE57">
            <v>6.1169307088017981E-2</v>
          </cell>
          <cell r="AF57">
            <v>5.4368798962878044E-2</v>
          </cell>
        </row>
        <row r="58">
          <cell r="AD58">
            <v>7.56582593889637E-2</v>
          </cell>
          <cell r="AE58">
            <v>5.8174646634999841E-2</v>
          </cell>
          <cell r="AF58">
            <v>5.3372002900559046E-2</v>
          </cell>
        </row>
        <row r="59">
          <cell r="AD59">
            <v>7.56582593889637E-2</v>
          </cell>
          <cell r="AE59">
            <v>6.0101463209308106E-2</v>
          </cell>
          <cell r="AF59">
            <v>5.4706977734652544E-2</v>
          </cell>
        </row>
        <row r="60">
          <cell r="AD60">
            <v>7.56582593889637E-2</v>
          </cell>
          <cell r="AE60">
            <v>5.690314373432713E-2</v>
          </cell>
          <cell r="AF60">
            <v>5.4916509076109246E-2</v>
          </cell>
        </row>
        <row r="61">
          <cell r="AD61">
            <v>7.56582593889637E-2</v>
          </cell>
          <cell r="AE61">
            <v>5.4384350325507341E-2</v>
          </cell>
          <cell r="AF61">
            <v>5.1889657562178206E-2</v>
          </cell>
        </row>
        <row r="62">
          <cell r="AD62">
            <v>7.56582593889637E-2</v>
          </cell>
          <cell r="AE62">
            <v>5.6576463312127956E-2</v>
          </cell>
          <cell r="AF62">
            <v>5.5663456434042469E-2</v>
          </cell>
        </row>
        <row r="63">
          <cell r="AD63">
            <v>7.56582593889637E-2</v>
          </cell>
          <cell r="AE63">
            <v>6.0178258710278404E-2</v>
          </cell>
        </row>
        <row r="64">
          <cell r="AD64">
            <v>7.56582593889637E-2</v>
          </cell>
          <cell r="AE64">
            <v>5.6180351617684345E-2</v>
          </cell>
        </row>
        <row r="65">
          <cell r="AD65">
            <v>7.56582593889637E-2</v>
          </cell>
          <cell r="AE65">
            <v>5.6817425436488954E-2</v>
          </cell>
        </row>
        <row r="66">
          <cell r="AD66">
            <v>7.56582593889637E-2</v>
          </cell>
        </row>
        <row r="67">
          <cell r="AD67">
            <v>7.56582593889637E-2</v>
          </cell>
        </row>
        <row r="68">
          <cell r="AD68">
            <v>7.56582593889637E-2</v>
          </cell>
        </row>
        <row r="69">
          <cell r="AD69">
            <v>7.56582593889637E-2</v>
          </cell>
        </row>
        <row r="70">
          <cell r="AD70">
            <v>7.56582593889637E-2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ongforecast.com/euribor-forecast-2017-2018-2019" TargetMode="External"/><Relationship Id="rId1" Type="http://schemas.openxmlformats.org/officeDocument/2006/relationships/hyperlink" Target="https://longforecast.com/euribor-forecast-2017-2018-2019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ithy.com/article/evaluation-metrices-regression-mae-mse-rmse-r2-jqlx1zyp" TargetMode="External"/><Relationship Id="rId1" Type="http://schemas.openxmlformats.org/officeDocument/2006/relationships/hyperlink" Target="https://ithy.com/article/evaluation-metrices-regression-mae-mse-rmse-r2-jqlx1zyp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ata-explorer.oecd.org/vis?tm=DF_EO&amp;pg=0&amp;snb=1&amp;vw=tb&amp;df%5bds%5d=dsDisseminateFinalDMZ&amp;df%5bid%5d=DSD_EO%40DF_EO&amp;df%5bag%5d=OECD.ECO.MAD&amp;df%5bvs%5d=&amp;lb=bt&amp;dq=PRT.GDPV_ANNPCT.Q&amp;pd=2019-Q1%2C2026-Q4&amp;ly%5bcl%5d=TIME_PERIOD&amp;ly%5brs%5d=MEASURE&amp;to%5bTIME_PERIOD%5d=false" TargetMode="External"/><Relationship Id="rId1" Type="http://schemas.openxmlformats.org/officeDocument/2006/relationships/hyperlink" Target="https://data-explorer.oecd.org/vis?df%5bds%5d=dsDisseminateFinalDMZ&amp;df%5bid%5d=DSD_NAMAIN1%40DF_QNA_EXPENDITURE_GROWTH_OECD&amp;df%5bag%5d=OECD.SDD.NAD&amp;df%5bvs%5d=&amp;dq=Q..PRT...B1GQ......G1.&amp;ly%5bcl%5d=TIME_PERIOD&amp;to%5bTIME_PERIOD%5d=false&amp;vw=tb&amp;pd=2019-Q1%2C2025-Q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AK116"/>
  <sheetViews>
    <sheetView showGridLines="0" zoomScaleNormal="88"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G2" sqref="G2"/>
    </sheetView>
  </sheetViews>
  <sheetFormatPr baseColWidth="10" defaultColWidth="9.1640625" defaultRowHeight="15"/>
  <cols>
    <col min="1" max="1" width="9.6640625" bestFit="1" customWidth="1"/>
    <col min="2" max="2" width="22.83203125" style="41" bestFit="1" customWidth="1"/>
    <col min="3" max="3" width="24.83203125" style="41" customWidth="1"/>
    <col min="4" max="4" width="27.33203125" style="41" bestFit="1" customWidth="1"/>
    <col min="5" max="6" width="27.33203125" style="41" customWidth="1"/>
    <col min="7" max="7" width="22" style="41" bestFit="1" customWidth="1"/>
    <col min="8" max="8" width="13.83203125" style="2" customWidth="1"/>
    <col min="9" max="9" width="12.33203125" style="2" bestFit="1" customWidth="1"/>
    <col min="10" max="10" width="24" style="2" bestFit="1" customWidth="1"/>
    <col min="11" max="11" width="19.83203125" style="2" bestFit="1" customWidth="1"/>
    <col min="12" max="12" width="24.1640625" style="2" bestFit="1" customWidth="1"/>
    <col min="13" max="13" width="16.1640625" style="2" bestFit="1" customWidth="1"/>
    <col min="16" max="16" width="7.83203125" bestFit="1" customWidth="1"/>
    <col min="17" max="17" width="9.33203125" bestFit="1" customWidth="1"/>
    <col min="18" max="18" width="10.6640625" bestFit="1" customWidth="1"/>
    <col min="19" max="19" width="10" bestFit="1" customWidth="1"/>
    <col min="20" max="20" width="21.6640625" bestFit="1" customWidth="1"/>
    <col min="21" max="21" width="17.5" bestFit="1" customWidth="1"/>
    <col min="22" max="22" width="17.6640625" bestFit="1" customWidth="1"/>
    <col min="23" max="23" width="13.83203125" bestFit="1" customWidth="1"/>
    <col min="24" max="24" width="14.83203125" bestFit="1" customWidth="1"/>
  </cols>
  <sheetData>
    <row r="1" spans="1:37">
      <c r="A1" s="1" t="s">
        <v>0</v>
      </c>
      <c r="B1" s="67" t="s">
        <v>296</v>
      </c>
      <c r="C1" s="67" t="s">
        <v>297</v>
      </c>
      <c r="D1" s="67" t="s">
        <v>298</v>
      </c>
      <c r="E1" s="67" t="s">
        <v>299</v>
      </c>
      <c r="F1" s="67" t="s">
        <v>300</v>
      </c>
      <c r="G1" s="67" t="s">
        <v>301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277</v>
      </c>
      <c r="M1" s="4" t="s">
        <v>6</v>
      </c>
      <c r="P1" s="4" t="s">
        <v>22</v>
      </c>
      <c r="Q1" s="4" t="s">
        <v>23</v>
      </c>
      <c r="R1" s="4" t="s">
        <v>1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Y1" s="73"/>
      <c r="Z1" s="73"/>
      <c r="AA1" s="73"/>
      <c r="AB1" s="73"/>
      <c r="AC1" s="73"/>
      <c r="AD1" s="73"/>
      <c r="AE1" s="73"/>
      <c r="AF1" s="73"/>
    </row>
    <row r="2" spans="1:37">
      <c r="A2" s="181">
        <v>201907</v>
      </c>
      <c r="H2" s="2">
        <f>+gdp!D13</f>
        <v>0.4</v>
      </c>
      <c r="I2" s="51">
        <v>-0.7</v>
      </c>
      <c r="J2" s="52">
        <v>6.6</v>
      </c>
      <c r="K2" s="2">
        <v>0.44</v>
      </c>
      <c r="L2" s="2">
        <v>-0.3649</v>
      </c>
      <c r="M2" s="2">
        <v>-0.2833</v>
      </c>
      <c r="O2" s="42"/>
      <c r="P2" s="35" t="s">
        <v>136</v>
      </c>
      <c r="R2" s="36">
        <f>+H54</f>
        <v>0.6</v>
      </c>
      <c r="S2" s="36">
        <f t="shared" ref="S2:W5" si="0">+I54</f>
        <v>2.2000000000000002</v>
      </c>
      <c r="T2" s="34">
        <f t="shared" si="0"/>
        <v>6.7</v>
      </c>
      <c r="U2" s="36">
        <f t="shared" si="0"/>
        <v>3.3</v>
      </c>
      <c r="V2" s="36">
        <f t="shared" si="0"/>
        <v>3.97</v>
      </c>
      <c r="W2" s="36">
        <f t="shared" si="0"/>
        <v>4.0221</v>
      </c>
      <c r="AA2" s="74"/>
      <c r="AB2" s="74"/>
      <c r="AC2" s="74"/>
      <c r="AD2" s="74"/>
      <c r="AE2" s="74"/>
      <c r="AF2" s="74"/>
    </row>
    <row r="3" spans="1:37">
      <c r="A3" s="181">
        <v>201908</v>
      </c>
      <c r="H3" s="2">
        <f>+H2</f>
        <v>0.4</v>
      </c>
      <c r="I3" s="51">
        <v>-0.1</v>
      </c>
      <c r="J3" s="52">
        <v>6.5</v>
      </c>
      <c r="K3" s="2">
        <v>0.17</v>
      </c>
      <c r="L3" s="2">
        <v>-0.40770000000000001</v>
      </c>
      <c r="M3" s="2">
        <v>-0.35630000000000001</v>
      </c>
      <c r="O3" s="42"/>
      <c r="P3" s="35" t="s">
        <v>135</v>
      </c>
      <c r="R3" s="36">
        <f t="shared" ref="R3:R21" si="1">+H55</f>
        <v>0.6</v>
      </c>
      <c r="S3" s="36">
        <f t="shared" si="0"/>
        <v>1.9</v>
      </c>
      <c r="T3" s="34">
        <f t="shared" si="0"/>
        <v>6.7</v>
      </c>
      <c r="U3" s="36">
        <f t="shared" si="0"/>
        <v>2.85</v>
      </c>
      <c r="V3" s="36">
        <f t="shared" si="0"/>
        <v>3.93</v>
      </c>
      <c r="W3" s="36">
        <f t="shared" si="0"/>
        <v>3.6699000000000002</v>
      </c>
      <c r="AA3" s="74"/>
      <c r="AB3" s="74"/>
      <c r="AC3" s="74"/>
      <c r="AD3" s="74"/>
      <c r="AE3" s="74"/>
      <c r="AF3" s="74"/>
    </row>
    <row r="4" spans="1:37">
      <c r="A4" s="181">
        <v>201909</v>
      </c>
      <c r="H4" s="2">
        <f>+H2</f>
        <v>0.4</v>
      </c>
      <c r="I4" s="51">
        <v>-0.3</v>
      </c>
      <c r="J4" s="52">
        <v>6.6</v>
      </c>
      <c r="K4" s="2">
        <v>0.2</v>
      </c>
      <c r="L4" s="2">
        <v>-0.41760000000000003</v>
      </c>
      <c r="M4" s="2">
        <v>-0.33910000000000001</v>
      </c>
      <c r="O4" s="42"/>
      <c r="P4" s="35" t="s">
        <v>133</v>
      </c>
      <c r="R4" s="36">
        <f t="shared" si="1"/>
        <v>0.6</v>
      </c>
      <c r="S4" s="36">
        <f t="shared" si="0"/>
        <v>2.5</v>
      </c>
      <c r="T4" s="34">
        <f t="shared" si="0"/>
        <v>6.8</v>
      </c>
      <c r="U4" s="36">
        <f t="shared" si="0"/>
        <v>2.97</v>
      </c>
      <c r="V4" s="36">
        <f t="shared" si="0"/>
        <v>3.93</v>
      </c>
      <c r="W4" s="36">
        <f t="shared" si="0"/>
        <v>3.6092</v>
      </c>
      <c r="AA4" s="74"/>
      <c r="AB4" s="74"/>
      <c r="AC4" s="74"/>
      <c r="AD4" s="74"/>
      <c r="AE4" s="74"/>
      <c r="AF4" s="74"/>
    </row>
    <row r="5" spans="1:37">
      <c r="A5" s="181">
        <v>201910</v>
      </c>
      <c r="H5" s="2">
        <f>+gdp!D14</f>
        <v>0.8</v>
      </c>
      <c r="I5" s="51">
        <v>-0.1</v>
      </c>
      <c r="J5" s="52">
        <v>6.6</v>
      </c>
      <c r="K5" s="2">
        <v>0.19</v>
      </c>
      <c r="L5" s="2">
        <v>-0.41289999999999999</v>
      </c>
      <c r="M5" s="2">
        <v>-0.30420000000000003</v>
      </c>
      <c r="O5" s="42"/>
      <c r="P5" s="35" t="s">
        <v>134</v>
      </c>
      <c r="R5" s="36">
        <f t="shared" si="1"/>
        <v>0.6</v>
      </c>
      <c r="S5" s="36">
        <f t="shared" si="0"/>
        <v>2.2999999999999998</v>
      </c>
      <c r="T5" s="34">
        <f t="shared" si="0"/>
        <v>6.8</v>
      </c>
      <c r="U5" s="36">
        <f t="shared" si="0"/>
        <v>3.06</v>
      </c>
      <c r="V5" s="36">
        <f t="shared" si="0"/>
        <v>3.92</v>
      </c>
      <c r="W5" s="36">
        <f t="shared" si="0"/>
        <v>3.6705000000000001</v>
      </c>
      <c r="AA5" s="34"/>
      <c r="AB5" s="37"/>
      <c r="AC5" s="37"/>
      <c r="AD5" s="38"/>
      <c r="AE5" s="38"/>
      <c r="AF5" s="3"/>
    </row>
    <row r="6" spans="1:37">
      <c r="A6" s="181">
        <v>201911</v>
      </c>
      <c r="H6" s="2">
        <f>+H5</f>
        <v>0.8</v>
      </c>
      <c r="I6" s="51">
        <v>0.2</v>
      </c>
      <c r="J6" s="52">
        <v>6.8</v>
      </c>
      <c r="K6" s="2">
        <v>0.35</v>
      </c>
      <c r="L6" s="2">
        <v>-0.40129999999999999</v>
      </c>
      <c r="M6" s="2">
        <v>-0.27200000000000002</v>
      </c>
      <c r="O6" s="42"/>
      <c r="P6" s="35" t="s">
        <v>77</v>
      </c>
      <c r="Q6" s="35" t="s">
        <v>33</v>
      </c>
      <c r="R6" s="36">
        <f t="shared" si="1"/>
        <v>0.6</v>
      </c>
      <c r="S6" s="36">
        <f t="shared" ref="S6:S9" si="2">+I58</f>
        <v>2.6</v>
      </c>
      <c r="T6" s="55">
        <v>6.3294894933538499</v>
      </c>
      <c r="U6" s="36">
        <f t="shared" ref="U6:W10" si="3">+K58</f>
        <v>3.02</v>
      </c>
      <c r="V6" s="36">
        <f t="shared" si="3"/>
        <v>3.92</v>
      </c>
      <c r="W6" s="36">
        <f t="shared" si="3"/>
        <v>3.7162000000000002</v>
      </c>
      <c r="AA6" s="34"/>
      <c r="AB6" s="37"/>
      <c r="AC6" s="37"/>
      <c r="AD6" s="38"/>
      <c r="AE6" s="38"/>
      <c r="AF6" s="3"/>
    </row>
    <row r="7" spans="1:37">
      <c r="A7" s="181">
        <v>201912</v>
      </c>
      <c r="H7" s="2">
        <f>+H5</f>
        <v>0.8</v>
      </c>
      <c r="I7" s="51">
        <v>0.4</v>
      </c>
      <c r="J7" s="52">
        <v>6.9</v>
      </c>
      <c r="K7" s="2">
        <v>0.41</v>
      </c>
      <c r="L7" s="2">
        <v>-0.3947</v>
      </c>
      <c r="M7" s="2">
        <v>-0.26140000000000002</v>
      </c>
      <c r="O7" s="42"/>
      <c r="P7" s="35" t="s">
        <v>78</v>
      </c>
      <c r="Q7" s="36"/>
      <c r="R7" s="36">
        <f t="shared" si="1"/>
        <v>0.4</v>
      </c>
      <c r="S7" s="36">
        <f t="shared" si="2"/>
        <v>2.2999999999999998</v>
      </c>
      <c r="T7" s="55">
        <v>6.3409447543692803</v>
      </c>
      <c r="U7" s="36">
        <f t="shared" si="3"/>
        <v>3.13</v>
      </c>
      <c r="V7" s="36">
        <f t="shared" si="3"/>
        <v>3.89</v>
      </c>
      <c r="W7" s="36">
        <f t="shared" si="3"/>
        <v>3.7025000000000001</v>
      </c>
      <c r="AA7" s="37"/>
      <c r="AB7" s="37"/>
      <c r="AC7" s="37"/>
      <c r="AD7" s="38"/>
      <c r="AE7" s="38"/>
      <c r="AF7" s="3"/>
    </row>
    <row r="8" spans="1:37">
      <c r="A8" s="181">
        <v>202001</v>
      </c>
      <c r="H8" s="2">
        <f>+gdp!D15</f>
        <v>-4.2</v>
      </c>
      <c r="I8" s="51">
        <v>0.8</v>
      </c>
      <c r="J8" s="52">
        <v>6.9</v>
      </c>
      <c r="K8" s="2">
        <v>0.37</v>
      </c>
      <c r="L8" s="2">
        <v>-0.3911</v>
      </c>
      <c r="M8" s="2">
        <v>-0.25340000000000001</v>
      </c>
      <c r="O8" s="42"/>
      <c r="P8" s="35" t="s">
        <v>79</v>
      </c>
      <c r="Q8" s="36"/>
      <c r="R8" s="36">
        <f t="shared" si="1"/>
        <v>0.4</v>
      </c>
      <c r="S8" s="36">
        <f t="shared" si="2"/>
        <v>3.8</v>
      </c>
      <c r="T8" s="55">
        <v>6.3409447543692803</v>
      </c>
      <c r="U8" s="36">
        <f t="shared" si="3"/>
        <v>3.16</v>
      </c>
      <c r="V8" s="36">
        <f t="shared" si="3"/>
        <v>3.81</v>
      </c>
      <c r="W8" s="36">
        <f t="shared" si="3"/>
        <v>3.6821000000000002</v>
      </c>
      <c r="AA8" s="37"/>
      <c r="AB8" s="37"/>
      <c r="AC8" s="37"/>
      <c r="AD8" s="38"/>
      <c r="AE8" s="38"/>
      <c r="AF8" s="3"/>
    </row>
    <row r="9" spans="1:37">
      <c r="A9" s="181">
        <v>202002</v>
      </c>
      <c r="H9" s="2">
        <f>+H8</f>
        <v>-4.2</v>
      </c>
      <c r="I9" s="51">
        <v>0.5</v>
      </c>
      <c r="J9" s="52">
        <v>6.5</v>
      </c>
      <c r="K9" s="2">
        <v>0.25</v>
      </c>
      <c r="L9" s="2">
        <v>-0.4088</v>
      </c>
      <c r="M9" s="2">
        <v>-0.28810000000000002</v>
      </c>
      <c r="O9" s="42"/>
      <c r="P9" s="35" t="s">
        <v>80</v>
      </c>
      <c r="Q9" s="35" t="s">
        <v>34</v>
      </c>
      <c r="R9" s="36">
        <f t="shared" si="1"/>
        <v>0.4</v>
      </c>
      <c r="S9" s="36">
        <f t="shared" si="2"/>
        <v>3.1</v>
      </c>
      <c r="T9" s="55">
        <v>6.3409447543692803</v>
      </c>
      <c r="U9" s="36">
        <f t="shared" si="3"/>
        <v>3.19</v>
      </c>
      <c r="V9" s="36">
        <f t="shared" si="3"/>
        <v>3.72</v>
      </c>
      <c r="W9" s="36">
        <f t="shared" si="3"/>
        <v>3.6496</v>
      </c>
      <c r="AA9" s="37"/>
      <c r="AB9" s="37"/>
      <c r="AC9" s="37"/>
      <c r="AD9" s="38"/>
      <c r="AE9" s="38"/>
      <c r="AF9" s="3"/>
    </row>
    <row r="10" spans="1:37">
      <c r="A10" s="181">
        <v>202003</v>
      </c>
      <c r="H10" s="2">
        <f>+H9</f>
        <v>-4.2</v>
      </c>
      <c r="I10" s="51">
        <v>0.1</v>
      </c>
      <c r="J10" s="52">
        <v>6.3</v>
      </c>
      <c r="K10" s="2">
        <v>0.71</v>
      </c>
      <c r="L10" s="2">
        <v>-0.41660000000000003</v>
      </c>
      <c r="M10" s="2">
        <v>-0.2656</v>
      </c>
      <c r="O10" s="42"/>
      <c r="P10" s="35" t="s">
        <v>81</v>
      </c>
      <c r="Q10" s="36"/>
      <c r="R10" s="36">
        <f t="shared" si="1"/>
        <v>0.4</v>
      </c>
      <c r="S10" s="36">
        <f>+I62</f>
        <v>2.7</v>
      </c>
      <c r="T10" s="55">
        <v>6.3515313211466298</v>
      </c>
      <c r="U10" s="36">
        <f t="shared" si="3"/>
        <v>3.1</v>
      </c>
      <c r="V10" s="36">
        <f t="shared" si="3"/>
        <v>3.68</v>
      </c>
      <c r="W10" s="36">
        <f t="shared" si="3"/>
        <v>3.5259</v>
      </c>
    </row>
    <row r="11" spans="1:37">
      <c r="A11" s="181">
        <v>202004</v>
      </c>
      <c r="H11" s="2">
        <f>+gdp!D16</f>
        <v>-15</v>
      </c>
      <c r="I11" s="51">
        <v>-0.1</v>
      </c>
      <c r="J11" s="52">
        <v>6.4</v>
      </c>
      <c r="K11" s="2">
        <v>0.97</v>
      </c>
      <c r="L11" s="2">
        <v>-0.254</v>
      </c>
      <c r="M11" s="2">
        <v>-0.1082</v>
      </c>
      <c r="O11" s="42"/>
      <c r="P11" s="35" t="s">
        <v>82</v>
      </c>
      <c r="Q11" s="36"/>
      <c r="R11" s="36">
        <f t="shared" si="1"/>
        <v>0.4</v>
      </c>
      <c r="S11" s="36">
        <f>+I63</f>
        <v>1.8</v>
      </c>
      <c r="T11" s="55">
        <v>6.3515313211466298</v>
      </c>
      <c r="U11" s="36">
        <f>+K63</f>
        <v>2.88</v>
      </c>
      <c r="V11" s="36">
        <f>+L63</f>
        <v>3.55</v>
      </c>
      <c r="W11" s="2">
        <v>2.2389999999999999</v>
      </c>
    </row>
    <row r="12" spans="1:37" ht="40" thickBot="1">
      <c r="A12">
        <v>202005</v>
      </c>
      <c r="H12" s="2">
        <f>+H11</f>
        <v>-15</v>
      </c>
      <c r="I12" s="51">
        <v>-0.6</v>
      </c>
      <c r="J12" s="52">
        <v>6</v>
      </c>
      <c r="K12" s="2">
        <v>0.81</v>
      </c>
      <c r="L12" s="2">
        <v>-0.27200000000000002</v>
      </c>
      <c r="M12" s="2">
        <v>-8.14E-2</v>
      </c>
      <c r="O12" s="42"/>
      <c r="P12" s="35" t="s">
        <v>83</v>
      </c>
      <c r="Q12" s="35" t="s">
        <v>35</v>
      </c>
      <c r="R12" s="36">
        <f t="shared" si="1"/>
        <v>0.4</v>
      </c>
      <c r="S12" s="36">
        <f>+I64</f>
        <v>2.6</v>
      </c>
      <c r="T12" s="55">
        <v>6.3515313211466298</v>
      </c>
      <c r="U12" s="36">
        <f>+K64</f>
        <v>2.78</v>
      </c>
      <c r="V12" s="36">
        <f>+L64</f>
        <v>3.43</v>
      </c>
      <c r="W12" s="2">
        <v>2.2389999999999999</v>
      </c>
      <c r="Y12" s="68" t="s">
        <v>86</v>
      </c>
      <c r="Z12" s="71" t="s">
        <v>129</v>
      </c>
      <c r="AA12" s="72" t="s">
        <v>130</v>
      </c>
      <c r="AG12" s="68" t="s">
        <v>86</v>
      </c>
      <c r="AH12" s="71" t="s">
        <v>163</v>
      </c>
      <c r="AJ12" s="72" t="s">
        <v>130</v>
      </c>
    </row>
    <row r="13" spans="1:37" ht="16" thickBot="1">
      <c r="A13">
        <v>202006</v>
      </c>
      <c r="H13" s="2">
        <f>+H12</f>
        <v>-15</v>
      </c>
      <c r="I13" s="51">
        <v>0.2</v>
      </c>
      <c r="J13" s="52">
        <v>7.5</v>
      </c>
      <c r="K13" s="2">
        <v>0.53</v>
      </c>
      <c r="L13" s="2">
        <v>-0.376</v>
      </c>
      <c r="M13" s="2">
        <v>-0.14749999999999999</v>
      </c>
      <c r="O13" s="42"/>
      <c r="P13" s="35" t="s">
        <v>7</v>
      </c>
      <c r="Q13" s="36"/>
      <c r="R13" s="36">
        <f t="shared" si="1"/>
        <v>1.4</v>
      </c>
      <c r="S13" s="36">
        <f>+I65</f>
        <v>2.6</v>
      </c>
      <c r="T13" s="37">
        <v>6.3528729999999998</v>
      </c>
      <c r="U13" s="38">
        <v>2.9377129652318299</v>
      </c>
      <c r="V13" s="36">
        <f>+L65</f>
        <v>3.17</v>
      </c>
      <c r="W13" s="2">
        <v>2.2389999999999999</v>
      </c>
      <c r="Y13" s="69" t="s">
        <v>87</v>
      </c>
      <c r="Z13" s="69" t="s">
        <v>88</v>
      </c>
      <c r="AA13" s="69" t="s">
        <v>89</v>
      </c>
      <c r="AB13" s="69" t="s">
        <v>90</v>
      </c>
      <c r="AC13" s="69" t="s">
        <v>103</v>
      </c>
      <c r="AG13" s="69" t="s">
        <v>87</v>
      </c>
      <c r="AH13" s="69" t="s">
        <v>88</v>
      </c>
      <c r="AI13" s="69" t="s">
        <v>89</v>
      </c>
      <c r="AJ13" s="69" t="s">
        <v>90</v>
      </c>
      <c r="AK13" s="69" t="s">
        <v>137</v>
      </c>
    </row>
    <row r="14" spans="1:37" ht="16" thickBot="1">
      <c r="A14">
        <v>202007</v>
      </c>
      <c r="B14" s="41">
        <f>+[1]Grafico_avec_FWL!AE5</f>
        <v>4.3437441744568199E-2</v>
      </c>
      <c r="C14" s="41">
        <f>B14</f>
        <v>4.3437441744568199E-2</v>
      </c>
      <c r="G14" s="41">
        <f>+[1]Grafico_avec_FWL!AD5</f>
        <v>3.951803916327E-2</v>
      </c>
      <c r="H14" s="59">
        <f>+gdp!D17</f>
        <v>14.4</v>
      </c>
      <c r="I14" s="51">
        <v>-0.1</v>
      </c>
      <c r="J14" s="52">
        <v>8.1999999999999993</v>
      </c>
      <c r="K14" s="2">
        <v>0.4</v>
      </c>
      <c r="L14" s="2">
        <v>-0.44409999999999999</v>
      </c>
      <c r="M14" s="2">
        <v>-0.27889999999999998</v>
      </c>
      <c r="O14" s="42"/>
      <c r="P14" t="s">
        <v>8</v>
      </c>
      <c r="R14" s="36">
        <f t="shared" si="1"/>
        <v>1.4</v>
      </c>
      <c r="S14" s="37">
        <v>3.0129636999999998</v>
      </c>
      <c r="T14" s="37">
        <v>6.3528729999999998</v>
      </c>
      <c r="U14" s="38">
        <v>2.9377129652318299</v>
      </c>
      <c r="V14" s="38">
        <v>3.4236147186147199</v>
      </c>
      <c r="W14" s="2">
        <f>+Z15</f>
        <v>2.5470000000000002</v>
      </c>
      <c r="Y14" s="156">
        <v>2024</v>
      </c>
      <c r="Z14" s="157"/>
      <c r="AA14" s="157"/>
      <c r="AB14" s="157"/>
      <c r="AC14" s="158"/>
      <c r="AG14" s="153">
        <v>2025</v>
      </c>
      <c r="AH14" s="154"/>
      <c r="AI14" s="154"/>
      <c r="AJ14" s="154"/>
      <c r="AK14" s="155"/>
    </row>
    <row r="15" spans="1:37" ht="16" thickBot="1">
      <c r="A15">
        <v>202008</v>
      </c>
      <c r="B15" s="41">
        <f>+[1]Grafico_avec_FWL!AE6</f>
        <v>4.013394693902253E-2</v>
      </c>
      <c r="C15" s="41">
        <f t="shared" ref="C15:C42" si="4">B15</f>
        <v>4.013394693902253E-2</v>
      </c>
      <c r="G15" s="41">
        <f>+[1]Grafico_avec_FWL!AD6</f>
        <v>3.951803916327E-2</v>
      </c>
      <c r="H15" s="59">
        <f>+H14</f>
        <v>14.4</v>
      </c>
      <c r="I15" s="51">
        <v>-0.2</v>
      </c>
      <c r="J15" s="52">
        <v>8.3000000000000007</v>
      </c>
      <c r="K15" s="2">
        <v>0.36</v>
      </c>
      <c r="L15" s="2">
        <v>-0.47970000000000002</v>
      </c>
      <c r="M15" s="2">
        <v>-0.3589</v>
      </c>
      <c r="O15" s="42"/>
      <c r="P15" t="s">
        <v>9</v>
      </c>
      <c r="Q15" t="s">
        <v>28</v>
      </c>
      <c r="R15" s="36">
        <f t="shared" si="1"/>
        <v>1.4</v>
      </c>
      <c r="S15" s="37">
        <v>3.0129636999999998</v>
      </c>
      <c r="T15" s="37">
        <v>6.3528729999999998</v>
      </c>
      <c r="U15" s="38">
        <v>2.9377129652318299</v>
      </c>
      <c r="V15" s="38">
        <v>3.4236147186147199</v>
      </c>
      <c r="W15" s="2">
        <f>+Z16</f>
        <v>2.488</v>
      </c>
      <c r="Y15" s="70" t="s">
        <v>91</v>
      </c>
      <c r="Z15" s="69">
        <v>2.5470000000000002</v>
      </c>
      <c r="AA15" s="69" t="s">
        <v>104</v>
      </c>
      <c r="AB15" s="70">
        <v>2.488</v>
      </c>
      <c r="AC15" s="69">
        <v>-5.8999999999999997E-2</v>
      </c>
      <c r="AG15" s="70" t="s">
        <v>100</v>
      </c>
      <c r="AH15" s="69">
        <v>2.1259999999999999</v>
      </c>
      <c r="AI15" s="69" t="s">
        <v>138</v>
      </c>
      <c r="AJ15" s="70">
        <v>2.056</v>
      </c>
      <c r="AK15" s="69">
        <v>-7.0000000000000007E-2</v>
      </c>
    </row>
    <row r="16" spans="1:37" ht="16" thickBot="1">
      <c r="A16">
        <v>202009</v>
      </c>
      <c r="B16" s="41">
        <f>+[1]Grafico_avec_FWL!AE7</f>
        <v>4.0497163488207054E-2</v>
      </c>
      <c r="C16" s="41">
        <f t="shared" si="4"/>
        <v>4.0497163488207054E-2</v>
      </c>
      <c r="G16" s="41">
        <f>+[1]Grafico_avec_FWL!AD7</f>
        <v>3.951803916327E-2</v>
      </c>
      <c r="H16" s="59">
        <f>+H15</f>
        <v>14.4</v>
      </c>
      <c r="I16" s="51">
        <v>-0.8</v>
      </c>
      <c r="J16" s="52">
        <v>8.1</v>
      </c>
      <c r="K16" s="2">
        <v>0.32</v>
      </c>
      <c r="L16" s="2">
        <v>-0.4914</v>
      </c>
      <c r="M16" s="2">
        <v>-0.41460000000000002</v>
      </c>
      <c r="O16" s="42"/>
      <c r="P16" t="s">
        <v>10</v>
      </c>
      <c r="R16" s="36">
        <f t="shared" si="1"/>
        <v>-0.4</v>
      </c>
      <c r="S16" s="37">
        <v>2.5845929000000001</v>
      </c>
      <c r="T16" s="37">
        <v>6.3407055999999997</v>
      </c>
      <c r="U16" s="38">
        <v>2.9177129652318299</v>
      </c>
      <c r="V16" s="38">
        <v>3.1736147186147199</v>
      </c>
      <c r="W16" s="2">
        <f t="shared" ref="W16:W27" si="5">+Z18</f>
        <v>2.4849999999999999</v>
      </c>
      <c r="Y16" s="70" t="s">
        <v>92</v>
      </c>
      <c r="Z16" s="69">
        <v>2.488</v>
      </c>
      <c r="AA16" s="69" t="s">
        <v>105</v>
      </c>
      <c r="AB16" s="70">
        <v>2.4849999999999999</v>
      </c>
      <c r="AC16" s="69">
        <v>-6.2E-2</v>
      </c>
      <c r="AG16" s="70" t="s">
        <v>101</v>
      </c>
      <c r="AH16" s="69">
        <v>2.056</v>
      </c>
      <c r="AI16" s="69" t="s">
        <v>139</v>
      </c>
      <c r="AJ16" s="70">
        <v>2.0209999999999999</v>
      </c>
      <c r="AK16" s="69">
        <v>-0.105</v>
      </c>
    </row>
    <row r="17" spans="1:37" ht="16" thickBot="1">
      <c r="A17">
        <v>202010</v>
      </c>
      <c r="B17" s="41">
        <f>+[1]Grafico_avec_FWL!AE8</f>
        <v>4.1286086407357758E-2</v>
      </c>
      <c r="C17" s="41">
        <f t="shared" si="4"/>
        <v>4.1286086407357758E-2</v>
      </c>
      <c r="G17" s="41">
        <f>+[1]Grafico_avec_FWL!AD8</f>
        <v>3.951803916327E-2</v>
      </c>
      <c r="H17" s="2">
        <f>+gdp!D18</f>
        <v>0.2</v>
      </c>
      <c r="I17" s="51">
        <v>-0.6</v>
      </c>
      <c r="J17" s="52">
        <v>7.6</v>
      </c>
      <c r="K17" s="2">
        <v>0.18</v>
      </c>
      <c r="L17" s="2">
        <v>-0.5091</v>
      </c>
      <c r="M17" s="2">
        <v>-0.46600000000000003</v>
      </c>
      <c r="O17" s="42"/>
      <c r="P17" t="s">
        <v>11</v>
      </c>
      <c r="R17" s="36">
        <f t="shared" si="1"/>
        <v>-0.4</v>
      </c>
      <c r="S17" s="37">
        <v>2.5845929000000001</v>
      </c>
      <c r="T17" s="37">
        <v>6.3407055999999997</v>
      </c>
      <c r="U17" s="38">
        <v>2.9177129652318299</v>
      </c>
      <c r="V17" s="38">
        <v>3.1736147186147199</v>
      </c>
      <c r="W17" s="2">
        <f t="shared" si="5"/>
        <v>2.3359999999999999</v>
      </c>
      <c r="Y17" s="156">
        <v>2025</v>
      </c>
      <c r="Z17" s="157"/>
      <c r="AA17" s="157"/>
      <c r="AB17" s="157"/>
      <c r="AC17" s="158"/>
      <c r="AG17" s="70" t="s">
        <v>102</v>
      </c>
      <c r="AH17" s="69">
        <v>2.0209999999999999</v>
      </c>
      <c r="AI17" s="69" t="s">
        <v>140</v>
      </c>
      <c r="AJ17" s="70">
        <v>2.0739999999999998</v>
      </c>
      <c r="AK17" s="69">
        <v>-5.1999999999999998E-2</v>
      </c>
    </row>
    <row r="18" spans="1:37" ht="16" thickBot="1">
      <c r="A18">
        <v>202011</v>
      </c>
      <c r="B18" s="41">
        <f>+[1]Grafico_avec_FWL!AE9</f>
        <v>4.2187942719767939E-2</v>
      </c>
      <c r="C18" s="41">
        <f t="shared" si="4"/>
        <v>4.2187942719767939E-2</v>
      </c>
      <c r="G18" s="41">
        <f>+[1]Grafico_avec_FWL!AD9</f>
        <v>3.951803916327E-2</v>
      </c>
      <c r="H18" s="2">
        <f>+H17</f>
        <v>0.2</v>
      </c>
      <c r="I18" s="51">
        <v>-0.4</v>
      </c>
      <c r="J18" s="52">
        <v>7.2</v>
      </c>
      <c r="K18" s="2">
        <v>7.0000000000000007E-2</v>
      </c>
      <c r="L18" s="2">
        <v>-0.52090000000000003</v>
      </c>
      <c r="M18" s="2">
        <v>-0.48060000000000003</v>
      </c>
      <c r="O18" s="42"/>
      <c r="P18" t="s">
        <v>12</v>
      </c>
      <c r="Q18" t="s">
        <v>24</v>
      </c>
      <c r="R18" s="36">
        <f t="shared" si="1"/>
        <v>-0.4</v>
      </c>
      <c r="S18" s="37">
        <v>2.5845929000000001</v>
      </c>
      <c r="T18" s="37">
        <v>6.3407055999999997</v>
      </c>
      <c r="U18" s="38">
        <v>2.9177129652318299</v>
      </c>
      <c r="V18" s="38">
        <v>3.1736147186147199</v>
      </c>
      <c r="W18" s="2">
        <f t="shared" si="5"/>
        <v>2.1960000000000002</v>
      </c>
      <c r="Y18" s="70" t="s">
        <v>93</v>
      </c>
      <c r="Z18" s="69">
        <v>2.4849999999999999</v>
      </c>
      <c r="AA18" s="69" t="s">
        <v>106</v>
      </c>
      <c r="AB18" s="70">
        <v>2.3359999999999999</v>
      </c>
      <c r="AC18" s="69">
        <v>-0.21099999999999999</v>
      </c>
      <c r="AG18" s="70" t="s">
        <v>91</v>
      </c>
      <c r="AH18" s="69">
        <v>2.0739999999999998</v>
      </c>
      <c r="AI18" s="69" t="s">
        <v>141</v>
      </c>
      <c r="AJ18" s="70">
        <v>2.056</v>
      </c>
      <c r="AK18" s="69">
        <v>-7.0000000000000007E-2</v>
      </c>
    </row>
    <row r="19" spans="1:37" ht="16" thickBot="1">
      <c r="A19">
        <v>202012</v>
      </c>
      <c r="B19" s="41">
        <f>+[1]Grafico_avec_FWL!AE10</f>
        <v>4.2471299513697179E-2</v>
      </c>
      <c r="C19" s="41">
        <f t="shared" si="4"/>
        <v>4.2471299513697179E-2</v>
      </c>
      <c r="G19" s="41">
        <f>+[1]Grafico_avec_FWL!AD10</f>
        <v>3.951803916327E-2</v>
      </c>
      <c r="H19" s="2">
        <f>+H18</f>
        <v>0.2</v>
      </c>
      <c r="I19" s="51">
        <v>-0.3</v>
      </c>
      <c r="J19" s="52">
        <v>6.9</v>
      </c>
      <c r="K19" s="2">
        <v>0.03</v>
      </c>
      <c r="L19" s="2">
        <v>-0.53810000000000002</v>
      </c>
      <c r="M19" s="2">
        <v>-0.49659999999999999</v>
      </c>
      <c r="O19" s="42"/>
      <c r="P19" t="s">
        <v>13</v>
      </c>
      <c r="R19" s="36">
        <f t="shared" si="1"/>
        <v>0.6</v>
      </c>
      <c r="S19" s="37">
        <v>2.4013152999999998</v>
      </c>
      <c r="T19" s="37">
        <v>6.3032605999999998</v>
      </c>
      <c r="U19" s="38">
        <v>2.8877129652318301</v>
      </c>
      <c r="V19" s="38">
        <v>2.9236147186147199</v>
      </c>
      <c r="W19" s="2">
        <f t="shared" si="5"/>
        <v>2.0640000000000001</v>
      </c>
      <c r="Y19" s="70" t="s">
        <v>94</v>
      </c>
      <c r="Z19" s="69">
        <v>2.3359999999999999</v>
      </c>
      <c r="AA19" s="69" t="s">
        <v>107</v>
      </c>
      <c r="AB19" s="70">
        <v>2.1960000000000002</v>
      </c>
      <c r="AC19" s="69">
        <v>-0.35099999999999998</v>
      </c>
      <c r="AG19" s="70" t="s">
        <v>92</v>
      </c>
      <c r="AH19" s="69">
        <v>2.056</v>
      </c>
      <c r="AI19" s="69" t="s">
        <v>142</v>
      </c>
      <c r="AJ19" s="70">
        <v>2.097</v>
      </c>
      <c r="AK19" s="69">
        <v>-2.9000000000000001E-2</v>
      </c>
    </row>
    <row r="20" spans="1:37" ht="16" thickBot="1">
      <c r="A20">
        <v>202101</v>
      </c>
      <c r="B20" s="41">
        <f>+[1]Grafico_avec_FWL!AE11</f>
        <v>4.1920834853606155E-2</v>
      </c>
      <c r="C20" s="41">
        <f t="shared" si="4"/>
        <v>4.1920834853606155E-2</v>
      </c>
      <c r="G20" s="41">
        <f>+[1]Grafico_avec_FWL!AD11</f>
        <v>3.951803916327E-2</v>
      </c>
      <c r="H20" s="2">
        <f>+gdp!D19</f>
        <v>-2.8</v>
      </c>
      <c r="I20" s="51">
        <v>0.2</v>
      </c>
      <c r="J20" s="52">
        <v>7</v>
      </c>
      <c r="K20" s="2">
        <v>0.03</v>
      </c>
      <c r="L20" s="2">
        <v>-0.54720000000000002</v>
      </c>
      <c r="M20" s="2">
        <v>-0.50470000000000004</v>
      </c>
      <c r="O20" s="42"/>
      <c r="P20" t="s">
        <v>14</v>
      </c>
      <c r="R20" s="36">
        <f t="shared" si="1"/>
        <v>0.6</v>
      </c>
      <c r="S20" s="37">
        <v>2.4013152999999998</v>
      </c>
      <c r="T20" s="37">
        <v>6.3032605999999998</v>
      </c>
      <c r="U20" s="38">
        <v>2.8877129652318301</v>
      </c>
      <c r="V20" s="38">
        <v>2.9236147186147199</v>
      </c>
      <c r="W20" s="2">
        <f t="shared" si="5"/>
        <v>1.956</v>
      </c>
      <c r="Y20" s="70" t="s">
        <v>95</v>
      </c>
      <c r="Z20" s="69">
        <v>2.1960000000000002</v>
      </c>
      <c r="AA20" s="69" t="s">
        <v>108</v>
      </c>
      <c r="AB20" s="70">
        <v>2.0640000000000001</v>
      </c>
      <c r="AC20" s="69">
        <v>-0.48299999999999998</v>
      </c>
      <c r="AG20" s="153">
        <v>2026</v>
      </c>
      <c r="AH20" s="154"/>
      <c r="AI20" s="154"/>
      <c r="AJ20" s="154"/>
      <c r="AK20" s="155"/>
    </row>
    <row r="21" spans="1:37" ht="16" thickBot="1">
      <c r="A21">
        <v>202102</v>
      </c>
      <c r="B21" s="41">
        <f>+[1]Grafico_avec_FWL!AE12</f>
        <v>3.9108570834952013E-2</v>
      </c>
      <c r="C21" s="41">
        <f t="shared" si="4"/>
        <v>3.9108570834952013E-2</v>
      </c>
      <c r="G21" s="41">
        <f>+[1]Grafico_avec_FWL!AD12</f>
        <v>3.951803916327E-2</v>
      </c>
      <c r="H21" s="2">
        <f>+H20</f>
        <v>-2.8</v>
      </c>
      <c r="I21" s="51">
        <v>0.3</v>
      </c>
      <c r="J21" s="52">
        <v>7</v>
      </c>
      <c r="K21" s="2">
        <v>0.16</v>
      </c>
      <c r="L21" s="2">
        <v>-0.54110000000000003</v>
      </c>
      <c r="M21" s="2">
        <v>-0.50090000000000001</v>
      </c>
      <c r="O21" s="42"/>
      <c r="P21" t="s">
        <v>15</v>
      </c>
      <c r="Q21" t="s">
        <v>25</v>
      </c>
      <c r="R21" s="36">
        <f t="shared" si="1"/>
        <v>0.6</v>
      </c>
      <c r="S21" s="37">
        <v>2.4013152999999998</v>
      </c>
      <c r="T21" s="37">
        <v>6.3032605999999998</v>
      </c>
      <c r="U21" s="38">
        <v>2.8877129652318301</v>
      </c>
      <c r="V21" s="38">
        <v>2.9236147186147199</v>
      </c>
      <c r="W21" s="2">
        <f t="shared" si="5"/>
        <v>1.8859999999999999</v>
      </c>
      <c r="X21" s="79" t="s">
        <v>164</v>
      </c>
      <c r="Y21" s="70" t="s">
        <v>96</v>
      </c>
      <c r="Z21" s="69">
        <v>2.0640000000000001</v>
      </c>
      <c r="AA21" s="69" t="s">
        <v>109</v>
      </c>
      <c r="AB21" s="70">
        <v>1.956</v>
      </c>
      <c r="AC21" s="69">
        <v>-0.59099999999999997</v>
      </c>
      <c r="AG21" s="70" t="s">
        <v>93</v>
      </c>
      <c r="AH21" s="69">
        <v>2.097</v>
      </c>
      <c r="AI21" s="69" t="s">
        <v>143</v>
      </c>
      <c r="AJ21" s="70">
        <v>1.9710000000000001</v>
      </c>
      <c r="AK21" s="69">
        <v>-0.155</v>
      </c>
    </row>
    <row r="22" spans="1:37" ht="16" thickBot="1">
      <c r="A22">
        <v>202103</v>
      </c>
      <c r="B22" s="41">
        <f>+[1]Grafico_avec_FWL!AE13</f>
        <v>3.6046841867549403E-2</v>
      </c>
      <c r="C22" s="41">
        <f t="shared" si="4"/>
        <v>3.6046841867549403E-2</v>
      </c>
      <c r="G22" s="41">
        <f>+[1]Grafico_avec_FWL!AD13</f>
        <v>3.951803916327E-2</v>
      </c>
      <c r="H22" s="2">
        <f>+H21</f>
        <v>-2.8</v>
      </c>
      <c r="I22" s="51">
        <v>0.1</v>
      </c>
      <c r="J22" s="52">
        <v>6.8</v>
      </c>
      <c r="K22" s="2">
        <v>0.23</v>
      </c>
      <c r="L22" s="2">
        <v>-0.53910000000000002</v>
      </c>
      <c r="M22" s="2">
        <v>-0.48670000000000002</v>
      </c>
      <c r="O22" s="42"/>
      <c r="P22" t="s">
        <v>16</v>
      </c>
      <c r="R22" s="37">
        <f>+R23</f>
        <v>1.85</v>
      </c>
      <c r="S22" s="37">
        <v>2.3199071</v>
      </c>
      <c r="T22" s="37">
        <v>6.2564355999999997</v>
      </c>
      <c r="U22" s="38">
        <v>2.84771296523183</v>
      </c>
      <c r="V22" s="38">
        <v>2.6736147186147199</v>
      </c>
      <c r="W22" s="2">
        <f t="shared" si="5"/>
        <v>1.8939999999999999</v>
      </c>
      <c r="X22" s="80">
        <v>45888</v>
      </c>
      <c r="Y22" s="70" t="s">
        <v>97</v>
      </c>
      <c r="Z22" s="69">
        <v>1.956</v>
      </c>
      <c r="AA22" s="69" t="s">
        <v>110</v>
      </c>
      <c r="AB22" s="70">
        <v>1.8859999999999999</v>
      </c>
      <c r="AC22" s="69">
        <v>-0.66100000000000003</v>
      </c>
      <c r="AG22" s="70" t="s">
        <v>94</v>
      </c>
      <c r="AH22" s="69">
        <v>1.9710000000000001</v>
      </c>
      <c r="AI22" s="69" t="s">
        <v>144</v>
      </c>
      <c r="AJ22" s="70">
        <v>1.899</v>
      </c>
      <c r="AK22" s="69">
        <v>-0.22700000000000001</v>
      </c>
    </row>
    <row r="23" spans="1:37" ht="16" thickBot="1">
      <c r="A23">
        <v>202104</v>
      </c>
      <c r="B23" s="41">
        <f>+[1]Grafico_avec_FWL!AE14</f>
        <v>2.7355237825420022E-2</v>
      </c>
      <c r="C23" s="41">
        <f t="shared" si="4"/>
        <v>2.7355237825420022E-2</v>
      </c>
      <c r="G23" s="41">
        <f>+[1]Grafico_avec_FWL!AD14</f>
        <v>3.951803916327E-2</v>
      </c>
      <c r="H23" s="2">
        <f>+gdp!D20</f>
        <v>4.5999999999999996</v>
      </c>
      <c r="I23" s="51">
        <v>-0.1</v>
      </c>
      <c r="J23" s="52">
        <v>7.1</v>
      </c>
      <c r="K23" s="2">
        <v>0.35</v>
      </c>
      <c r="L23" s="2">
        <v>-0.53820000000000001</v>
      </c>
      <c r="M23" s="2">
        <v>-0.48349999999999999</v>
      </c>
      <c r="O23" s="42"/>
      <c r="P23" t="s">
        <v>17</v>
      </c>
      <c r="R23" s="37">
        <f>+R24</f>
        <v>1.85</v>
      </c>
      <c r="S23" s="37">
        <v>2.3199071</v>
      </c>
      <c r="T23" s="37">
        <v>6.2564355999999997</v>
      </c>
      <c r="U23" s="38">
        <v>2.84771296523183</v>
      </c>
      <c r="V23" s="38">
        <v>2.6736147186147199</v>
      </c>
      <c r="W23" s="2">
        <f t="shared" si="5"/>
        <v>1.9079999999999999</v>
      </c>
      <c r="X23" s="76">
        <v>2.1259999999999999</v>
      </c>
      <c r="Y23" s="70" t="s">
        <v>98</v>
      </c>
      <c r="Z23" s="69">
        <v>1.8859999999999999</v>
      </c>
      <c r="AA23" s="69" t="s">
        <v>111</v>
      </c>
      <c r="AB23" s="70">
        <v>1.8939999999999999</v>
      </c>
      <c r="AC23" s="69">
        <v>-0.65300000000000002</v>
      </c>
      <c r="AG23" s="70" t="s">
        <v>95</v>
      </c>
      <c r="AH23" s="69">
        <v>1.899</v>
      </c>
      <c r="AI23" s="69" t="s">
        <v>145</v>
      </c>
      <c r="AJ23" s="70">
        <v>1.8049999999999999</v>
      </c>
      <c r="AK23" s="69">
        <v>-0.32100000000000001</v>
      </c>
    </row>
    <row r="24" spans="1:37" ht="16" thickBot="1">
      <c r="A24">
        <v>202105</v>
      </c>
      <c r="B24" s="41">
        <f>+[1]Grafico_avec_FWL!AE15</f>
        <v>2.3559644871238E-2</v>
      </c>
      <c r="C24" s="41">
        <f t="shared" si="4"/>
        <v>2.3559644871238E-2</v>
      </c>
      <c r="G24" s="41">
        <f>+[1]Grafico_avec_FWL!AD15</f>
        <v>3.951803916327E-2</v>
      </c>
      <c r="H24" s="2">
        <f>+H23</f>
        <v>4.5999999999999996</v>
      </c>
      <c r="I24" s="51">
        <v>0.5</v>
      </c>
      <c r="J24" s="52">
        <v>7.2</v>
      </c>
      <c r="K24" s="2">
        <v>0.53</v>
      </c>
      <c r="L24" s="2">
        <v>-0.54010000000000002</v>
      </c>
      <c r="M24" s="2">
        <v>-0.48060000000000003</v>
      </c>
      <c r="O24" s="42"/>
      <c r="P24" t="s">
        <v>18</v>
      </c>
      <c r="Q24" t="s">
        <v>26</v>
      </c>
      <c r="R24" s="37">
        <f>+gdp!K37</f>
        <v>1.85</v>
      </c>
      <c r="S24" s="37">
        <v>2.3199071</v>
      </c>
      <c r="T24" s="37">
        <v>6.2564355999999997</v>
      </c>
      <c r="U24" s="38">
        <v>2.84771296523183</v>
      </c>
      <c r="V24" s="38">
        <v>2.6736147186147199</v>
      </c>
      <c r="W24" s="2">
        <f t="shared" si="5"/>
        <v>1.867</v>
      </c>
      <c r="X24" s="76">
        <v>2.056</v>
      </c>
      <c r="Y24" s="70" t="s">
        <v>99</v>
      </c>
      <c r="Z24" s="69">
        <v>1.8939999999999999</v>
      </c>
      <c r="AA24" s="69" t="s">
        <v>112</v>
      </c>
      <c r="AB24" s="70">
        <v>1.9079999999999999</v>
      </c>
      <c r="AC24" s="69">
        <v>-0.63900000000000001</v>
      </c>
      <c r="AG24" s="70" t="s">
        <v>96</v>
      </c>
      <c r="AH24" s="69">
        <v>1.8049999999999999</v>
      </c>
      <c r="AI24" s="69" t="s">
        <v>146</v>
      </c>
      <c r="AJ24" s="70">
        <v>1.7929999999999999</v>
      </c>
      <c r="AK24" s="69">
        <v>-0.33300000000000002</v>
      </c>
    </row>
    <row r="25" spans="1:37" ht="16" thickBot="1">
      <c r="A25">
        <v>202106</v>
      </c>
      <c r="B25" s="41">
        <f>+[1]Grafico_avec_FWL!AE16</f>
        <v>2.3568044510027367E-2</v>
      </c>
      <c r="C25" s="41">
        <f t="shared" si="4"/>
        <v>2.3568044510027367E-2</v>
      </c>
      <c r="G25" s="41">
        <f>+[1]Grafico_avec_FWL!AD16</f>
        <v>3.951803916327E-2</v>
      </c>
      <c r="H25" s="2">
        <f>+H24</f>
        <v>4.5999999999999996</v>
      </c>
      <c r="I25" s="51">
        <v>-0.6</v>
      </c>
      <c r="J25" s="52">
        <v>7</v>
      </c>
      <c r="K25" s="2">
        <v>0.43</v>
      </c>
      <c r="L25" s="2">
        <v>-0.54290000000000005</v>
      </c>
      <c r="M25" s="2">
        <v>-0.4839</v>
      </c>
      <c r="O25" s="42"/>
      <c r="P25" t="s">
        <v>19</v>
      </c>
      <c r="R25" s="37">
        <f>+R27</f>
        <v>1.78</v>
      </c>
      <c r="S25" s="37">
        <v>2.2181974000000002</v>
      </c>
      <c r="T25" s="37">
        <v>6.2095871999999996</v>
      </c>
      <c r="U25" s="38">
        <v>2.7977129652318302</v>
      </c>
      <c r="V25" s="38">
        <v>2.4236147186147199</v>
      </c>
      <c r="W25" s="2">
        <f t="shared" si="5"/>
        <v>1.8440000000000001</v>
      </c>
      <c r="X25" s="76">
        <v>2.0209999999999999</v>
      </c>
      <c r="Y25" s="70" t="s">
        <v>100</v>
      </c>
      <c r="Z25" s="69">
        <v>1.9079999999999999</v>
      </c>
      <c r="AA25" s="69" t="s">
        <v>113</v>
      </c>
      <c r="AB25" s="70">
        <v>1.867</v>
      </c>
      <c r="AC25" s="69">
        <v>-0.68</v>
      </c>
      <c r="AG25" s="70" t="s">
        <v>97</v>
      </c>
      <c r="AH25" s="69">
        <v>1.7929999999999999</v>
      </c>
      <c r="AI25" s="69" t="s">
        <v>147</v>
      </c>
      <c r="AJ25" s="70">
        <v>1.788</v>
      </c>
      <c r="AK25" s="69">
        <v>-0.33800000000000002</v>
      </c>
    </row>
    <row r="26" spans="1:37" ht="16" thickBot="1">
      <c r="A26">
        <v>202107</v>
      </c>
      <c r="B26" s="41">
        <f>+[1]Grafico_avec_FWL!AE17</f>
        <v>2.5690669143998725E-2</v>
      </c>
      <c r="C26" s="41">
        <f t="shared" si="4"/>
        <v>2.5690669143998725E-2</v>
      </c>
      <c r="G26" s="41">
        <f>+[1]Grafico_avec_FWL!AD17</f>
        <v>3.951803916327E-2</v>
      </c>
      <c r="H26" s="2">
        <f>+gdp!D21</f>
        <v>3.6</v>
      </c>
      <c r="I26" s="51">
        <v>1.1000000000000001</v>
      </c>
      <c r="J26" s="52">
        <v>6.7</v>
      </c>
      <c r="K26" s="2">
        <v>0.27</v>
      </c>
      <c r="L26" s="2">
        <v>-0.54479999999999995</v>
      </c>
      <c r="M26" s="2">
        <v>-0.49070000000000003</v>
      </c>
      <c r="O26" s="42"/>
      <c r="P26" t="s">
        <v>20</v>
      </c>
      <c r="R26" s="37">
        <f>+R27</f>
        <v>1.78</v>
      </c>
      <c r="S26" s="37">
        <v>2.2181974000000002</v>
      </c>
      <c r="T26" s="37">
        <v>6.2095871999999996</v>
      </c>
      <c r="U26" s="38">
        <v>2.7977129652318302</v>
      </c>
      <c r="V26" s="38">
        <v>2.4236147186147199</v>
      </c>
      <c r="W26" s="2">
        <f t="shared" si="5"/>
        <v>1.875</v>
      </c>
      <c r="X26" s="76">
        <v>2.0739999999999998</v>
      </c>
      <c r="Y26" s="70" t="s">
        <v>101</v>
      </c>
      <c r="Z26" s="69">
        <v>1.867</v>
      </c>
      <c r="AA26" s="69" t="s">
        <v>114</v>
      </c>
      <c r="AB26" s="70">
        <v>1.8440000000000001</v>
      </c>
      <c r="AC26" s="69">
        <v>-0.70299999999999996</v>
      </c>
      <c r="AG26" s="70" t="s">
        <v>98</v>
      </c>
      <c r="AH26" s="69">
        <v>1.788</v>
      </c>
      <c r="AI26" s="69" t="s">
        <v>148</v>
      </c>
      <c r="AJ26" s="70">
        <v>1.728</v>
      </c>
      <c r="AK26" s="69">
        <v>-0.39800000000000002</v>
      </c>
    </row>
    <row r="27" spans="1:37" ht="16" thickBot="1">
      <c r="A27">
        <v>202108</v>
      </c>
      <c r="B27" s="41">
        <f>+[1]Grafico_avec_FWL!AE18</f>
        <v>2.5819416788303438E-2</v>
      </c>
      <c r="C27" s="41">
        <f t="shared" si="4"/>
        <v>2.5819416788303438E-2</v>
      </c>
      <c r="G27" s="41">
        <f>+[1]Grafico_avec_FWL!AD18</f>
        <v>3.951803916327E-2</v>
      </c>
      <c r="H27" s="2">
        <f>+H26</f>
        <v>3.6</v>
      </c>
      <c r="I27" s="51">
        <v>1.3</v>
      </c>
      <c r="J27" s="52">
        <v>6.4</v>
      </c>
      <c r="K27" s="2">
        <v>0.14000000000000001</v>
      </c>
      <c r="L27" s="2">
        <v>-0.54759999999999998</v>
      </c>
      <c r="M27" s="2">
        <v>-0.49819999999999998</v>
      </c>
      <c r="O27" s="42"/>
      <c r="P27" t="s">
        <v>21</v>
      </c>
      <c r="Q27" t="s">
        <v>27</v>
      </c>
      <c r="R27" s="37">
        <f>+gdp!K38</f>
        <v>1.78</v>
      </c>
      <c r="S27" s="37">
        <v>2.2181974000000002</v>
      </c>
      <c r="T27" s="37">
        <v>6.2095871999999996</v>
      </c>
      <c r="U27" s="38">
        <v>2.7977129652318302</v>
      </c>
      <c r="V27" s="38">
        <v>2.4236147186147199</v>
      </c>
      <c r="W27" s="2">
        <f t="shared" si="5"/>
        <v>1.7629999999999999</v>
      </c>
      <c r="X27" s="76">
        <v>2.056</v>
      </c>
      <c r="Y27" s="70" t="s">
        <v>102</v>
      </c>
      <c r="Z27" s="69">
        <v>1.8440000000000001</v>
      </c>
      <c r="AA27" s="69" t="s">
        <v>115</v>
      </c>
      <c r="AB27" s="70">
        <v>1.875</v>
      </c>
      <c r="AC27" s="69">
        <v>-0.67200000000000004</v>
      </c>
      <c r="AG27" s="70" t="s">
        <v>99</v>
      </c>
      <c r="AH27" s="69">
        <v>1.728</v>
      </c>
      <c r="AI27" s="69" t="s">
        <v>149</v>
      </c>
      <c r="AJ27" s="70">
        <v>1.6240000000000001</v>
      </c>
      <c r="AK27" s="69">
        <v>-0.502</v>
      </c>
    </row>
    <row r="28" spans="1:37" ht="16" thickBot="1">
      <c r="A28">
        <v>202109</v>
      </c>
      <c r="B28" s="41">
        <f>+[1]Grafico_avec_FWL!AE19</f>
        <v>2.673670973575067E-2</v>
      </c>
      <c r="C28" s="41">
        <f t="shared" si="4"/>
        <v>2.673670973575067E-2</v>
      </c>
      <c r="G28" s="41">
        <f>+[1]Grafico_avec_FWL!AD19</f>
        <v>3.951803916327E-2</v>
      </c>
      <c r="H28" s="2">
        <f>+H27</f>
        <v>3.6</v>
      </c>
      <c r="I28" s="51">
        <v>1.3</v>
      </c>
      <c r="J28" s="52">
        <v>6.4</v>
      </c>
      <c r="K28" s="2">
        <v>0.26</v>
      </c>
      <c r="L28" s="2">
        <v>-0.54500000000000004</v>
      </c>
      <c r="M28" s="2">
        <v>-0.49230000000000002</v>
      </c>
      <c r="O28" s="42"/>
      <c r="P28" t="s">
        <v>165</v>
      </c>
      <c r="R28">
        <f>+R30</f>
        <v>1.79</v>
      </c>
      <c r="T28" s="37">
        <v>6.4</v>
      </c>
      <c r="U28">
        <f>+Z31</f>
        <v>1.708</v>
      </c>
      <c r="W28" s="81">
        <v>2.097</v>
      </c>
      <c r="Y28" s="70" t="s">
        <v>91</v>
      </c>
      <c r="Z28" s="69">
        <v>1.875</v>
      </c>
      <c r="AA28" s="69" t="s">
        <v>116</v>
      </c>
      <c r="AB28" s="70">
        <v>1.7629999999999999</v>
      </c>
      <c r="AC28" s="69">
        <v>-0.78400000000000003</v>
      </c>
      <c r="AG28" s="70" t="s">
        <v>100</v>
      </c>
      <c r="AH28" s="69">
        <v>1.6240000000000001</v>
      </c>
      <c r="AI28" s="69" t="s">
        <v>150</v>
      </c>
      <c r="AJ28" s="70">
        <v>1.5269999999999999</v>
      </c>
      <c r="AK28" s="69">
        <v>-0.59899999999999998</v>
      </c>
    </row>
    <row r="29" spans="1:37" ht="16" thickBot="1">
      <c r="A29">
        <v>202110</v>
      </c>
      <c r="B29" s="41">
        <f>+[1]Grafico_avec_FWL!AE20</f>
        <v>2.7689090110515058E-2</v>
      </c>
      <c r="C29" s="41">
        <f t="shared" si="4"/>
        <v>2.7689090110515058E-2</v>
      </c>
      <c r="G29" s="41">
        <f>+[1]Grafico_avec_FWL!AD20</f>
        <v>3.951803916327E-2</v>
      </c>
      <c r="H29" s="2">
        <f>+gdp!D22</f>
        <v>1.9</v>
      </c>
      <c r="I29" s="51">
        <v>1.8</v>
      </c>
      <c r="J29" s="52">
        <v>6.4</v>
      </c>
      <c r="K29" s="2">
        <v>0.39</v>
      </c>
      <c r="L29" s="2">
        <v>-0.54979999999999996</v>
      </c>
      <c r="M29" s="2">
        <v>-0.4768</v>
      </c>
      <c r="O29" s="42"/>
      <c r="P29" t="s">
        <v>166</v>
      </c>
      <c r="R29">
        <f>+R30</f>
        <v>1.79</v>
      </c>
      <c r="T29" s="37">
        <f>+$T$28</f>
        <v>6.4</v>
      </c>
      <c r="U29">
        <f t="shared" ref="U29:U38" si="6">+Z32</f>
        <v>1.637</v>
      </c>
      <c r="W29" s="81">
        <v>1.9710000000000001</v>
      </c>
      <c r="Y29" s="70" t="s">
        <v>92</v>
      </c>
      <c r="Z29" s="69">
        <v>1.7629999999999999</v>
      </c>
      <c r="AA29" s="69" t="s">
        <v>117</v>
      </c>
      <c r="AB29" s="70">
        <v>1.708</v>
      </c>
      <c r="AC29" s="69">
        <v>-0.83899999999999997</v>
      </c>
      <c r="AG29" s="70" t="s">
        <v>101</v>
      </c>
      <c r="AH29" s="69">
        <v>1.5269999999999999</v>
      </c>
      <c r="AI29" s="69" t="s">
        <v>151</v>
      </c>
      <c r="AJ29" s="70">
        <v>1.4350000000000001</v>
      </c>
      <c r="AK29" s="69">
        <v>-0.69099999999999995</v>
      </c>
    </row>
    <row r="30" spans="1:37" ht="16" thickBot="1">
      <c r="A30">
        <v>202111</v>
      </c>
      <c r="B30" s="41">
        <f>+[1]Grafico_avec_FWL!AE21</f>
        <v>2.8446148389824785E-2</v>
      </c>
      <c r="C30" s="41">
        <f t="shared" si="4"/>
        <v>2.8446148389824785E-2</v>
      </c>
      <c r="G30" s="41">
        <f>+[1]Grafico_avec_FWL!AD21</f>
        <v>3.951803916327E-2</v>
      </c>
      <c r="H30" s="2">
        <f>+H29</f>
        <v>1.9</v>
      </c>
      <c r="I30" s="51">
        <v>2.6</v>
      </c>
      <c r="J30" s="52">
        <v>6.3</v>
      </c>
      <c r="K30" s="2">
        <v>0.39</v>
      </c>
      <c r="L30" s="2">
        <v>-0.56740000000000002</v>
      </c>
      <c r="M30" s="2">
        <v>-0.48699999999999999</v>
      </c>
      <c r="O30" s="42"/>
      <c r="P30" t="s">
        <v>167</v>
      </c>
      <c r="Q30" t="s">
        <v>177</v>
      </c>
      <c r="R30">
        <f>+gdp!K39</f>
        <v>1.79</v>
      </c>
      <c r="T30" s="37">
        <f t="shared" ref="T30:T39" si="7">+$T$28</f>
        <v>6.4</v>
      </c>
      <c r="U30">
        <f t="shared" si="6"/>
        <v>1.6240000000000001</v>
      </c>
      <c r="W30" s="81">
        <v>1.899</v>
      </c>
      <c r="Y30" s="156">
        <v>2026</v>
      </c>
      <c r="Z30" s="157"/>
      <c r="AA30" s="157"/>
      <c r="AB30" s="157"/>
      <c r="AC30" s="158"/>
      <c r="AG30" s="70" t="s">
        <v>102</v>
      </c>
      <c r="AH30" s="69">
        <v>1.4350000000000001</v>
      </c>
      <c r="AI30" s="69" t="s">
        <v>152</v>
      </c>
      <c r="AJ30" s="70">
        <v>1.36</v>
      </c>
      <c r="AK30" s="69">
        <v>-0.76600000000000001</v>
      </c>
    </row>
    <row r="31" spans="1:37" ht="16" thickBot="1">
      <c r="A31">
        <v>202112</v>
      </c>
      <c r="B31" s="41">
        <f>+[1]Grafico_avec_FWL!AE22</f>
        <v>2.9269147842478457E-2</v>
      </c>
      <c r="C31" s="41">
        <f t="shared" si="4"/>
        <v>2.9269147842478457E-2</v>
      </c>
      <c r="G31" s="41">
        <f>+[1]Grafico_avec_FWL!AD22</f>
        <v>3.951803916327E-2</v>
      </c>
      <c r="H31" s="2">
        <f>+H30</f>
        <v>1.9</v>
      </c>
      <c r="I31" s="51">
        <v>2.8</v>
      </c>
      <c r="J31" s="52">
        <v>6</v>
      </c>
      <c r="K31" s="2">
        <v>0.36</v>
      </c>
      <c r="L31" s="2">
        <v>-0.58199999999999996</v>
      </c>
      <c r="M31" s="2">
        <v>-0.502</v>
      </c>
      <c r="O31" s="42"/>
      <c r="P31" t="s">
        <v>168</v>
      </c>
      <c r="R31">
        <f>+R32</f>
        <v>1.87</v>
      </c>
      <c r="T31" s="37">
        <f t="shared" si="7"/>
        <v>6.4</v>
      </c>
      <c r="U31">
        <f t="shared" si="6"/>
        <v>1.639</v>
      </c>
      <c r="W31" s="82">
        <v>1.8049999999999999</v>
      </c>
      <c r="Y31" s="70" t="s">
        <v>93</v>
      </c>
      <c r="Z31" s="69">
        <v>1.708</v>
      </c>
      <c r="AA31" s="69" t="s">
        <v>118</v>
      </c>
      <c r="AB31" s="70">
        <v>1.637</v>
      </c>
      <c r="AC31" s="69">
        <v>-0.91</v>
      </c>
      <c r="AG31" s="70" t="s">
        <v>91</v>
      </c>
      <c r="AH31" s="69">
        <v>1.36</v>
      </c>
      <c r="AI31" s="69" t="s">
        <v>153</v>
      </c>
      <c r="AJ31" s="70">
        <v>1.3109999999999999</v>
      </c>
      <c r="AK31" s="69">
        <v>-0.81499999999999995</v>
      </c>
    </row>
    <row r="32" spans="1:37" ht="16" thickBot="1">
      <c r="A32">
        <v>202201</v>
      </c>
      <c r="B32" s="41">
        <f>+[1]Grafico_avec_FWL!AE23</f>
        <v>2.7318124162630037E-2</v>
      </c>
      <c r="C32" s="41">
        <f t="shared" si="4"/>
        <v>2.7318124162630037E-2</v>
      </c>
      <c r="G32" s="41">
        <f>+[1]Grafico_avec_FWL!AD23</f>
        <v>3.951803916327E-2</v>
      </c>
      <c r="H32" s="2">
        <f>+gdp!D23</f>
        <v>1.7</v>
      </c>
      <c r="I32" s="51">
        <v>3.4</v>
      </c>
      <c r="J32" s="52">
        <v>5.9</v>
      </c>
      <c r="K32" s="2">
        <v>0.57999999999999996</v>
      </c>
      <c r="L32" s="2">
        <v>-0.56010000000000004</v>
      </c>
      <c r="M32" s="2">
        <v>-0.47670000000000001</v>
      </c>
      <c r="O32" s="42"/>
      <c r="P32" t="s">
        <v>169</v>
      </c>
      <c r="R32">
        <f>+R33</f>
        <v>1.87</v>
      </c>
      <c r="T32" s="37">
        <f t="shared" si="7"/>
        <v>6.4</v>
      </c>
      <c r="U32">
        <f t="shared" si="6"/>
        <v>1.611</v>
      </c>
      <c r="W32" s="82">
        <v>1.7929999999999999</v>
      </c>
      <c r="Y32" s="70" t="s">
        <v>94</v>
      </c>
      <c r="Z32" s="69">
        <v>1.637</v>
      </c>
      <c r="AA32" s="69" t="s">
        <v>119</v>
      </c>
      <c r="AB32" s="70">
        <v>1.6240000000000001</v>
      </c>
      <c r="AC32" s="69">
        <v>-0.92300000000000004</v>
      </c>
      <c r="AG32" s="70" t="s">
        <v>92</v>
      </c>
      <c r="AH32" s="69">
        <v>1.3109999999999999</v>
      </c>
      <c r="AI32" s="69" t="s">
        <v>154</v>
      </c>
      <c r="AJ32" s="70">
        <v>1.3160000000000001</v>
      </c>
      <c r="AK32" s="69">
        <v>-0.81</v>
      </c>
    </row>
    <row r="33" spans="1:37" ht="16" thickBot="1">
      <c r="A33">
        <v>202202</v>
      </c>
      <c r="B33" s="41">
        <f>+[1]Grafico_avec_FWL!AE24</f>
        <v>2.7578907067958042E-2</v>
      </c>
      <c r="C33" s="41">
        <f t="shared" si="4"/>
        <v>2.7578907067958042E-2</v>
      </c>
      <c r="G33" s="41">
        <f>+[1]Grafico_avec_FWL!AD24</f>
        <v>3.951803916327E-2</v>
      </c>
      <c r="H33" s="2">
        <f>+H32</f>
        <v>1.7</v>
      </c>
      <c r="I33" s="51">
        <v>4.4000000000000004</v>
      </c>
      <c r="J33" s="52">
        <v>5.8</v>
      </c>
      <c r="K33" s="2">
        <v>1.06</v>
      </c>
      <c r="L33" s="2">
        <v>-0.53149999999999997</v>
      </c>
      <c r="M33" s="2">
        <v>-0.33529999999999999</v>
      </c>
      <c r="O33" s="42"/>
      <c r="P33" t="s">
        <v>170</v>
      </c>
      <c r="Q33" t="s">
        <v>178</v>
      </c>
      <c r="R33">
        <f>+gdp!K40</f>
        <v>1.87</v>
      </c>
      <c r="T33" s="37">
        <f t="shared" si="7"/>
        <v>6.4</v>
      </c>
      <c r="U33">
        <f t="shared" si="6"/>
        <v>1.591</v>
      </c>
      <c r="W33" s="82">
        <v>1.788</v>
      </c>
      <c r="Y33" s="70" t="s">
        <v>95</v>
      </c>
      <c r="Z33" s="69">
        <v>1.6240000000000001</v>
      </c>
      <c r="AA33" s="69" t="s">
        <v>120</v>
      </c>
      <c r="AB33" s="70">
        <v>1.639</v>
      </c>
      <c r="AC33" s="69">
        <v>-0.90800000000000003</v>
      </c>
      <c r="AG33" s="153">
        <v>2027</v>
      </c>
      <c r="AH33" s="154"/>
      <c r="AI33" s="154"/>
      <c r="AJ33" s="154"/>
      <c r="AK33" s="155"/>
    </row>
    <row r="34" spans="1:37" ht="16" thickBot="1">
      <c r="A34">
        <v>202203</v>
      </c>
      <c r="B34" s="41">
        <f>+[1]Grafico_avec_FWL!AE25</f>
        <v>2.8314983742788034E-2</v>
      </c>
      <c r="C34" s="41">
        <f t="shared" si="4"/>
        <v>2.8314983742788034E-2</v>
      </c>
      <c r="G34" s="41">
        <f>+[1]Grafico_avec_FWL!AD25</f>
        <v>3.951803916327E-2</v>
      </c>
      <c r="H34" s="2">
        <f>+H33</f>
        <v>1.7</v>
      </c>
      <c r="I34" s="51">
        <v>5.5</v>
      </c>
      <c r="J34" s="52">
        <v>5.9</v>
      </c>
      <c r="K34" s="2">
        <v>1.1599999999999999</v>
      </c>
      <c r="L34" s="2">
        <v>-0.49540000000000001</v>
      </c>
      <c r="M34" s="2">
        <v>-0.2374</v>
      </c>
      <c r="O34" s="42"/>
      <c r="P34" t="s">
        <v>171</v>
      </c>
      <c r="R34">
        <f>+R35</f>
        <v>1.95</v>
      </c>
      <c r="T34" s="37">
        <f t="shared" si="7"/>
        <v>6.4</v>
      </c>
      <c r="U34">
        <f t="shared" si="6"/>
        <v>1.615</v>
      </c>
      <c r="W34" s="82">
        <v>1.728</v>
      </c>
      <c r="Y34" s="70" t="s">
        <v>96</v>
      </c>
      <c r="Z34" s="69">
        <v>1.639</v>
      </c>
      <c r="AA34" s="69" t="s">
        <v>121</v>
      </c>
      <c r="AB34" s="70">
        <v>1.611</v>
      </c>
      <c r="AC34" s="69">
        <v>-0.93600000000000005</v>
      </c>
      <c r="AG34" s="70" t="s">
        <v>93</v>
      </c>
      <c r="AH34" s="69">
        <v>1.3160000000000001</v>
      </c>
      <c r="AI34" s="69" t="s">
        <v>155</v>
      </c>
      <c r="AJ34" s="70">
        <v>1.3260000000000001</v>
      </c>
      <c r="AK34" s="69">
        <v>-0.8</v>
      </c>
    </row>
    <row r="35" spans="1:37" ht="16" thickBot="1">
      <c r="A35">
        <v>202204</v>
      </c>
      <c r="B35" s="41">
        <f>+[1]Grafico_avec_FWL!AE26</f>
        <v>3.2445718675921956E-2</v>
      </c>
      <c r="C35" s="41">
        <f t="shared" si="4"/>
        <v>3.2445718675921956E-2</v>
      </c>
      <c r="G35" s="41">
        <f>+[1]Grafico_avec_FWL!AD26</f>
        <v>3.951803916327E-2</v>
      </c>
      <c r="H35" s="2">
        <f>+gdp!D24</f>
        <v>0.4</v>
      </c>
      <c r="I35" s="51">
        <v>7.4</v>
      </c>
      <c r="J35" s="52">
        <v>6</v>
      </c>
      <c r="K35" s="2">
        <v>1.76</v>
      </c>
      <c r="L35" s="2">
        <v>-0.44790000000000002</v>
      </c>
      <c r="M35" s="2">
        <v>1.3100000000000001E-2</v>
      </c>
      <c r="O35" s="42"/>
      <c r="P35" t="s">
        <v>172</v>
      </c>
      <c r="R35">
        <f>+R36</f>
        <v>1.95</v>
      </c>
      <c r="T35" s="37">
        <f t="shared" si="7"/>
        <v>6.4</v>
      </c>
      <c r="U35">
        <f t="shared" si="6"/>
        <v>1.5860000000000001</v>
      </c>
      <c r="W35" s="82">
        <v>1.6240000000000001</v>
      </c>
      <c r="Y35" s="70" t="s">
        <v>97</v>
      </c>
      <c r="Z35" s="69">
        <v>1.611</v>
      </c>
      <c r="AA35" s="69" t="s">
        <v>122</v>
      </c>
      <c r="AB35" s="70">
        <v>1.591</v>
      </c>
      <c r="AC35" s="69">
        <v>-0.95599999999999996</v>
      </c>
      <c r="AG35" s="70" t="s">
        <v>94</v>
      </c>
      <c r="AH35" s="69">
        <v>1.3260000000000001</v>
      </c>
      <c r="AI35" s="69" t="s">
        <v>156</v>
      </c>
      <c r="AJ35" s="70">
        <v>1.298</v>
      </c>
      <c r="AK35" s="69">
        <v>-0.82799999999999996</v>
      </c>
    </row>
    <row r="36" spans="1:37" ht="16" thickBot="1">
      <c r="A36">
        <v>202205</v>
      </c>
      <c r="B36" s="41">
        <f>+[1]Grafico_avec_FWL!AE27</f>
        <v>3.3679873092941771E-2</v>
      </c>
      <c r="C36" s="41">
        <f t="shared" si="4"/>
        <v>3.3679873092941771E-2</v>
      </c>
      <c r="G36" s="41">
        <f>+[1]Grafico_avec_FWL!AD27</f>
        <v>3.951803916327E-2</v>
      </c>
      <c r="H36" s="2">
        <f>+H35</f>
        <v>0.4</v>
      </c>
      <c r="I36" s="51">
        <v>8.1</v>
      </c>
      <c r="J36" s="52">
        <v>6.2</v>
      </c>
      <c r="K36" s="2">
        <v>2.14</v>
      </c>
      <c r="L36" s="2">
        <v>-0.38569999999999999</v>
      </c>
      <c r="M36" s="2">
        <v>0.28660000000000002</v>
      </c>
      <c r="O36" s="42"/>
      <c r="P36" t="s">
        <v>173</v>
      </c>
      <c r="Q36" t="s">
        <v>179</v>
      </c>
      <c r="R36">
        <f>+gdp!K41</f>
        <v>1.95</v>
      </c>
      <c r="T36" s="37">
        <f t="shared" si="7"/>
        <v>6.4</v>
      </c>
      <c r="U36">
        <f t="shared" si="6"/>
        <v>1.542</v>
      </c>
      <c r="W36" s="82">
        <v>1.5269999999999999</v>
      </c>
      <c r="Y36" s="70" t="s">
        <v>98</v>
      </c>
      <c r="Z36" s="69">
        <v>1.591</v>
      </c>
      <c r="AA36" s="69" t="s">
        <v>123</v>
      </c>
      <c r="AB36" s="70">
        <v>1.615</v>
      </c>
      <c r="AC36" s="69">
        <v>-0.93200000000000005</v>
      </c>
      <c r="AG36" s="70" t="s">
        <v>95</v>
      </c>
      <c r="AH36" s="69">
        <v>1.298</v>
      </c>
      <c r="AI36" s="69" t="s">
        <v>157</v>
      </c>
      <c r="AJ36" s="70">
        <v>1.282</v>
      </c>
      <c r="AK36" s="69">
        <v>-0.84399999999999997</v>
      </c>
    </row>
    <row r="37" spans="1:37" ht="16" thickBot="1">
      <c r="A37">
        <v>202206</v>
      </c>
      <c r="B37" s="41">
        <f>+[1]Grafico_avec_FWL!AE28</f>
        <v>3.5237067599472469E-2</v>
      </c>
      <c r="C37" s="41">
        <f t="shared" si="4"/>
        <v>3.5237067599472469E-2</v>
      </c>
      <c r="G37" s="41">
        <f>+[1]Grafico_avec_FWL!AD28</f>
        <v>3.951803916327E-2</v>
      </c>
      <c r="H37" s="2">
        <f>+H36</f>
        <v>0.4</v>
      </c>
      <c r="I37" s="51">
        <v>9</v>
      </c>
      <c r="J37" s="52">
        <v>6.1</v>
      </c>
      <c r="K37" s="2">
        <v>2.65</v>
      </c>
      <c r="L37" s="2">
        <v>-0.2392</v>
      </c>
      <c r="M37" s="2">
        <v>0.85219999999999996</v>
      </c>
      <c r="O37" s="42"/>
      <c r="P37" t="s">
        <v>174</v>
      </c>
      <c r="R37">
        <f>+R39</f>
        <v>1.97</v>
      </c>
      <c r="T37" s="37">
        <f t="shared" si="7"/>
        <v>6.4</v>
      </c>
      <c r="U37">
        <f t="shared" si="6"/>
        <v>1.5069999999999999</v>
      </c>
      <c r="W37" s="82">
        <v>1.4350000000000001</v>
      </c>
      <c r="Y37" s="70" t="s">
        <v>99</v>
      </c>
      <c r="Z37" s="69">
        <v>1.615</v>
      </c>
      <c r="AA37" s="69" t="s">
        <v>124</v>
      </c>
      <c r="AB37" s="70">
        <v>1.5860000000000001</v>
      </c>
      <c r="AC37" s="69">
        <v>-0.96099999999999997</v>
      </c>
      <c r="AG37" s="70" t="s">
        <v>96</v>
      </c>
      <c r="AH37" s="69">
        <v>1.282</v>
      </c>
      <c r="AI37" s="69" t="s">
        <v>158</v>
      </c>
      <c r="AJ37" s="70">
        <v>1.304</v>
      </c>
      <c r="AK37" s="69">
        <v>-0.82199999999999995</v>
      </c>
    </row>
    <row r="38" spans="1:37" ht="16" thickBot="1">
      <c r="A38">
        <v>202207</v>
      </c>
      <c r="B38" s="41">
        <f>+[1]Grafico_avec_FWL!AE29</f>
        <v>3.6317405655292338E-2</v>
      </c>
      <c r="C38" s="41">
        <f t="shared" si="4"/>
        <v>3.6317405655292338E-2</v>
      </c>
      <c r="G38" s="41">
        <f>+[1]Grafico_avec_FWL!AD29</f>
        <v>3.951803916327E-2</v>
      </c>
      <c r="H38" s="2">
        <f>+gdp!D25</f>
        <v>1</v>
      </c>
      <c r="I38" s="51">
        <v>9.4</v>
      </c>
      <c r="J38" s="52">
        <v>6.2</v>
      </c>
      <c r="K38" s="2">
        <v>2.2599999999999998</v>
      </c>
      <c r="L38" s="2">
        <v>3.6600000000000001E-2</v>
      </c>
      <c r="M38" s="2">
        <v>0.99150000000000005</v>
      </c>
      <c r="O38" s="42"/>
      <c r="P38" t="s">
        <v>175</v>
      </c>
      <c r="R38">
        <f>+R39</f>
        <v>1.97</v>
      </c>
      <c r="T38" s="37">
        <f t="shared" si="7"/>
        <v>6.4</v>
      </c>
      <c r="U38">
        <f t="shared" si="6"/>
        <v>1.4930000000000001</v>
      </c>
      <c r="W38" s="82">
        <v>1.36</v>
      </c>
      <c r="Y38" s="70" t="s">
        <v>100</v>
      </c>
      <c r="Z38" s="69">
        <v>1.5860000000000001</v>
      </c>
      <c r="AA38" s="69" t="s">
        <v>125</v>
      </c>
      <c r="AB38" s="70">
        <v>1.542</v>
      </c>
      <c r="AC38" s="69">
        <v>-1.0049999999999999</v>
      </c>
      <c r="AG38" s="70" t="s">
        <v>97</v>
      </c>
      <c r="AH38" s="69">
        <v>1.304</v>
      </c>
      <c r="AI38" s="69" t="s">
        <v>159</v>
      </c>
      <c r="AJ38" s="70">
        <v>1.226</v>
      </c>
      <c r="AK38" s="69">
        <v>-0.9</v>
      </c>
    </row>
    <row r="39" spans="1:37" ht="16" thickBot="1">
      <c r="A39">
        <v>202208</v>
      </c>
      <c r="B39" s="41">
        <f>+[1]Grafico_avec_FWL!AE30</f>
        <v>4.1386621770823688E-2</v>
      </c>
      <c r="C39" s="41">
        <f t="shared" si="4"/>
        <v>4.1386621770823688E-2</v>
      </c>
      <c r="G39" s="41">
        <f>+[1]Grafico_avec_FWL!AD30</f>
        <v>3.951803916327E-2</v>
      </c>
      <c r="H39" s="2">
        <f>+H38</f>
        <v>1</v>
      </c>
      <c r="I39" s="51">
        <v>9.3000000000000007</v>
      </c>
      <c r="J39" s="52">
        <v>6.2</v>
      </c>
      <c r="K39" s="2">
        <v>2.16</v>
      </c>
      <c r="L39" s="2">
        <v>0.3947</v>
      </c>
      <c r="M39" s="2">
        <v>1.2495000000000001</v>
      </c>
      <c r="O39" s="42"/>
      <c r="P39" t="s">
        <v>176</v>
      </c>
      <c r="Q39" t="s">
        <v>180</v>
      </c>
      <c r="R39">
        <f>+gdp!K42</f>
        <v>1.97</v>
      </c>
      <c r="T39" s="37">
        <f t="shared" si="7"/>
        <v>6.4</v>
      </c>
      <c r="W39" s="82">
        <v>1.3109999999999999</v>
      </c>
      <c r="Y39" s="70" t="s">
        <v>101</v>
      </c>
      <c r="Z39" s="69">
        <v>1.542</v>
      </c>
      <c r="AA39" s="69" t="s">
        <v>126</v>
      </c>
      <c r="AB39" s="70">
        <v>1.5069999999999999</v>
      </c>
      <c r="AC39" s="69">
        <v>-1.04</v>
      </c>
      <c r="AG39" s="70" t="s">
        <v>98</v>
      </c>
      <c r="AH39" s="69">
        <v>1.226</v>
      </c>
      <c r="AI39" s="69" t="s">
        <v>160</v>
      </c>
      <c r="AJ39" s="70">
        <v>1.1879999999999999</v>
      </c>
      <c r="AK39" s="69">
        <v>-0.93799999999999994</v>
      </c>
    </row>
    <row r="40" spans="1:37" ht="16" thickBot="1">
      <c r="A40">
        <v>202209</v>
      </c>
      <c r="B40" s="41">
        <f>+[1]Grafico_avec_FWL!AE31</f>
        <v>4.2502617789220015E-2</v>
      </c>
      <c r="C40" s="41">
        <f t="shared" si="4"/>
        <v>4.2502617789220015E-2</v>
      </c>
      <c r="G40" s="41">
        <f>+[1]Grafico_avec_FWL!AD31</f>
        <v>3.951803916327E-2</v>
      </c>
      <c r="H40" s="2">
        <f>+H39</f>
        <v>1</v>
      </c>
      <c r="I40" s="51">
        <v>9.8000000000000007</v>
      </c>
      <c r="J40" s="52">
        <v>6.2</v>
      </c>
      <c r="K40" s="2">
        <v>2.89</v>
      </c>
      <c r="L40" s="2">
        <v>1.0108999999999999</v>
      </c>
      <c r="M40" s="2">
        <v>2.2330000000000001</v>
      </c>
      <c r="O40" s="42"/>
      <c r="Y40" s="70" t="s">
        <v>102</v>
      </c>
      <c r="Z40" s="69">
        <v>1.5069999999999999</v>
      </c>
      <c r="AA40" s="69" t="s">
        <v>127</v>
      </c>
      <c r="AB40" s="70">
        <v>1.4930000000000001</v>
      </c>
      <c r="AC40" s="69">
        <v>-1.054</v>
      </c>
      <c r="AG40" s="70" t="s">
        <v>99</v>
      </c>
      <c r="AH40" s="69">
        <v>1.1879999999999999</v>
      </c>
      <c r="AI40" s="69" t="s">
        <v>161</v>
      </c>
      <c r="AJ40" s="70">
        <v>1.139</v>
      </c>
      <c r="AK40" s="69">
        <v>-0.98699999999999999</v>
      </c>
    </row>
    <row r="41" spans="1:37" ht="16" thickBot="1">
      <c r="A41">
        <v>202210</v>
      </c>
      <c r="B41" s="41">
        <f>+[1]Grafico_avec_FWL!AE32</f>
        <v>4.5631669561585965E-2</v>
      </c>
      <c r="C41" s="41">
        <f t="shared" si="4"/>
        <v>4.5631669561585965E-2</v>
      </c>
      <c r="G41" s="41">
        <f>+[1]Grafico_avec_FWL!AD32</f>
        <v>3.951803916327E-2</v>
      </c>
      <c r="H41" s="2">
        <f>+gdp!D26</f>
        <v>0.5</v>
      </c>
      <c r="I41" s="51">
        <v>10.6</v>
      </c>
      <c r="J41" s="52">
        <v>6.1</v>
      </c>
      <c r="K41" s="2">
        <v>3.26</v>
      </c>
      <c r="L41" s="2">
        <v>1.4277</v>
      </c>
      <c r="M41" s="2">
        <v>2.6294</v>
      </c>
      <c r="O41" s="42"/>
      <c r="Y41" s="70" t="s">
        <v>91</v>
      </c>
      <c r="Z41" s="69">
        <v>1.4930000000000001</v>
      </c>
      <c r="AA41" s="69" t="s">
        <v>128</v>
      </c>
      <c r="AB41" s="70">
        <v>1.4319999999999999</v>
      </c>
      <c r="AC41" s="69">
        <v>-1.115</v>
      </c>
      <c r="AG41" s="70" t="s">
        <v>100</v>
      </c>
      <c r="AH41" s="69">
        <v>1.139</v>
      </c>
      <c r="AI41" s="69" t="s">
        <v>162</v>
      </c>
      <c r="AJ41" s="70">
        <v>1.1299999999999999</v>
      </c>
      <c r="AK41" s="69">
        <v>-0.996</v>
      </c>
    </row>
    <row r="42" spans="1:37">
      <c r="A42">
        <v>202211</v>
      </c>
      <c r="B42" s="41">
        <f>+[1]Grafico_avec_FWL!AE33</f>
        <v>5.1418023642256977E-2</v>
      </c>
      <c r="C42" s="41">
        <f t="shared" si="4"/>
        <v>5.1418023642256977E-2</v>
      </c>
      <c r="D42" s="49"/>
      <c r="E42" s="49"/>
      <c r="F42" s="49"/>
      <c r="G42" s="41">
        <f>+[1]Grafico_avec_FWL!AD33</f>
        <v>3.951803916327E-2</v>
      </c>
      <c r="H42" s="3">
        <f>+H41</f>
        <v>0.5</v>
      </c>
      <c r="I42" s="51">
        <v>10.199999999999999</v>
      </c>
      <c r="J42" s="52">
        <v>6.5</v>
      </c>
      <c r="K42" s="3">
        <v>3.02</v>
      </c>
      <c r="L42" s="3">
        <v>1.8251999999999999</v>
      </c>
      <c r="M42" s="3">
        <v>2.8283</v>
      </c>
      <c r="O42" s="42"/>
    </row>
    <row r="43" spans="1:37">
      <c r="A43">
        <v>202212</v>
      </c>
      <c r="B43" s="41">
        <f>+[1]Grafico_avec_FWL!AE34</f>
        <v>5.6537866649608658E-2</v>
      </c>
      <c r="C43" s="152">
        <f>+[1]Grafico_avec_FWL!AF34</f>
        <v>5.6537866649608658E-2</v>
      </c>
      <c r="G43" s="41">
        <f>+[1]Grafico_avec_FWL!AD34</f>
        <v>3.951803916327E-2</v>
      </c>
      <c r="H43" s="2">
        <f>+H42</f>
        <v>0.5</v>
      </c>
      <c r="I43" s="51">
        <v>9.8000000000000007</v>
      </c>
      <c r="J43" s="52">
        <v>6.7</v>
      </c>
      <c r="K43" s="2">
        <v>3.1</v>
      </c>
      <c r="L43" s="2">
        <v>2.0634999999999999</v>
      </c>
      <c r="M43" s="2">
        <v>3.0181</v>
      </c>
      <c r="O43" s="42"/>
    </row>
    <row r="44" spans="1:37">
      <c r="A44">
        <v>202301</v>
      </c>
      <c r="B44" s="41">
        <f>+[1]Grafico_avec_FWL!AE35</f>
        <v>5.9207142334392587E-2</v>
      </c>
      <c r="C44" s="152">
        <f>+[1]Grafico_avec_FWL!AF35</f>
        <v>4.5249267684519312E-2</v>
      </c>
      <c r="G44" s="41">
        <f>+[1]Grafico_avec_FWL!AD35</f>
        <v>3.951803916327E-2</v>
      </c>
      <c r="H44" s="2">
        <f>+gdp!D27</f>
        <v>1.4</v>
      </c>
      <c r="I44" s="51">
        <v>8.6</v>
      </c>
      <c r="J44" s="52">
        <v>7</v>
      </c>
      <c r="K44" s="2">
        <v>3.13</v>
      </c>
      <c r="L44" s="2">
        <v>2.3449</v>
      </c>
      <c r="M44" s="2">
        <v>3.3370000000000002</v>
      </c>
      <c r="O44" s="42"/>
    </row>
    <row r="45" spans="1:37">
      <c r="A45">
        <v>202302</v>
      </c>
      <c r="B45" s="41">
        <f>+[1]Grafico_avec_FWL!AE36</f>
        <v>6.4510120705673538E-2</v>
      </c>
      <c r="C45" s="152">
        <f>+[1]Grafico_avec_FWL!AF36</f>
        <v>4.6629016565678201E-2</v>
      </c>
      <c r="G45" s="41">
        <f>+[1]Grafico_avec_FWL!AD36</f>
        <v>3.951803916327E-2</v>
      </c>
      <c r="H45" s="2">
        <f>+H44</f>
        <v>1.4</v>
      </c>
      <c r="I45" s="51">
        <v>8.6</v>
      </c>
      <c r="J45" s="52">
        <v>6.9</v>
      </c>
      <c r="K45" s="2">
        <v>3.27</v>
      </c>
      <c r="L45" s="2">
        <v>2.6402999999999999</v>
      </c>
      <c r="M45" s="2">
        <v>3.5335999999999999</v>
      </c>
      <c r="O45" s="42"/>
    </row>
    <row r="46" spans="1:37">
      <c r="A46">
        <v>202303</v>
      </c>
      <c r="B46" s="41">
        <f>+[1]Grafico_avec_FWL!AE37</f>
        <v>7.1182878239680517E-2</v>
      </c>
      <c r="C46" s="152">
        <f>+[1]Grafico_avec_FWL!AF37</f>
        <v>4.8806110632199175E-2</v>
      </c>
      <c r="G46" s="41">
        <f>+[1]Grafico_avec_FWL!AD37</f>
        <v>3.951803916327E-2</v>
      </c>
      <c r="H46" s="2">
        <f>+H45</f>
        <v>1.4</v>
      </c>
      <c r="I46" s="51">
        <v>8</v>
      </c>
      <c r="J46" s="52">
        <v>6.8</v>
      </c>
      <c r="K46" s="2">
        <v>3.27</v>
      </c>
      <c r="L46" s="2">
        <v>2.9106000000000001</v>
      </c>
      <c r="M46" s="2">
        <v>3.6465999999999998</v>
      </c>
      <c r="O46" s="42"/>
    </row>
    <row r="47" spans="1:37">
      <c r="A47">
        <v>202304</v>
      </c>
      <c r="B47" s="41">
        <f>+[1]Grafico_avec_FWL!AE38</f>
        <v>7.6832711349003893E-2</v>
      </c>
      <c r="C47" s="152">
        <f>+[1]Grafico_avec_FWL!AF38</f>
        <v>4.918562321157903E-2</v>
      </c>
      <c r="G47" s="41">
        <f>+[1]Grafico_avec_FWL!AD38</f>
        <v>3.951803916327E-2</v>
      </c>
      <c r="H47" s="2">
        <f>+gdp!D28</f>
        <v>0.2</v>
      </c>
      <c r="I47" s="51">
        <v>6.9</v>
      </c>
      <c r="J47" s="52">
        <v>6.5</v>
      </c>
      <c r="K47" s="2">
        <v>3.2</v>
      </c>
      <c r="L47" s="2">
        <v>3.1669999999999998</v>
      </c>
      <c r="M47" s="2">
        <v>3.7437</v>
      </c>
      <c r="O47" s="42"/>
    </row>
    <row r="48" spans="1:37">
      <c r="A48">
        <v>202305</v>
      </c>
      <c r="B48" s="41">
        <f>+[1]Grafico_avec_FWL!AE39</f>
        <v>8.0064163564915261E-2</v>
      </c>
      <c r="C48" s="152">
        <f>+[1]Grafico_avec_FWL!AF39</f>
        <v>4.8997570630168678E-2</v>
      </c>
      <c r="G48" s="41">
        <f>+[1]Grafico_avec_FWL!AD39</f>
        <v>3.951803916327E-2</v>
      </c>
      <c r="H48" s="2">
        <f>+H47</f>
        <v>0.2</v>
      </c>
      <c r="I48" s="51">
        <v>5.4</v>
      </c>
      <c r="J48" s="52">
        <v>6.4</v>
      </c>
      <c r="K48" s="2">
        <v>3.16</v>
      </c>
      <c r="L48" s="2">
        <v>3.3664000000000001</v>
      </c>
      <c r="M48" s="2">
        <v>3.8618000000000001</v>
      </c>
      <c r="O48" s="42"/>
    </row>
    <row r="49" spans="1:15">
      <c r="A49">
        <v>202306</v>
      </c>
      <c r="B49" s="41">
        <f>+[1]Grafico_avec_FWL!AE40</f>
        <v>8.330227284746658E-2</v>
      </c>
      <c r="C49" s="152">
        <f>+[1]Grafico_avec_FWL!AF40</f>
        <v>5.00889343373958E-2</v>
      </c>
      <c r="G49" s="41">
        <f>+[1]Grafico_avec_FWL!AD40</f>
        <v>3.951803916327E-2</v>
      </c>
      <c r="H49" s="2">
        <f>+H48</f>
        <v>0.2</v>
      </c>
      <c r="I49" s="51">
        <v>4.7</v>
      </c>
      <c r="J49" s="52">
        <v>6.3</v>
      </c>
      <c r="K49" s="2">
        <v>3.09</v>
      </c>
      <c r="L49" s="2">
        <v>3.5358999999999998</v>
      </c>
      <c r="M49" s="2">
        <v>4.0072999999999999</v>
      </c>
      <c r="O49" s="42"/>
    </row>
    <row r="50" spans="1:15">
      <c r="A50">
        <v>202307</v>
      </c>
      <c r="B50" s="41">
        <f>+[1]Grafico_avec_FWL!AE41</f>
        <v>8.6609612439609365E-2</v>
      </c>
      <c r="C50" s="152">
        <f>+[1]Grafico_avec_FWL!AF41</f>
        <v>5.1728581789779529E-2</v>
      </c>
      <c r="G50" s="41">
        <f>+[1]Grafico_avec_FWL!AD41</f>
        <v>3.951803916327E-2</v>
      </c>
      <c r="H50" s="2">
        <f>+gdp!D29</f>
        <v>-0.1</v>
      </c>
      <c r="I50" s="51">
        <v>4.3</v>
      </c>
      <c r="J50" s="52">
        <v>6.3</v>
      </c>
      <c r="K50" s="2">
        <v>3.23</v>
      </c>
      <c r="L50" s="2">
        <v>3.6718000000000002</v>
      </c>
      <c r="M50" s="2">
        <v>4.149</v>
      </c>
      <c r="O50" s="42"/>
    </row>
    <row r="51" spans="1:15">
      <c r="A51">
        <v>202308</v>
      </c>
      <c r="B51" s="41">
        <f>+[1]Grafico_avec_FWL!AE42</f>
        <v>8.8940591329730104E-2</v>
      </c>
      <c r="C51" s="152">
        <f>+[1]Grafico_avec_FWL!AF42</f>
        <v>5.0980923449129217E-2</v>
      </c>
      <c r="G51" s="41">
        <f>+[1]Grafico_avec_FWL!AD42</f>
        <v>3.951803916327E-2</v>
      </c>
      <c r="H51" s="2">
        <f>+H50</f>
        <v>-0.1</v>
      </c>
      <c r="I51" s="51">
        <v>5.3</v>
      </c>
      <c r="J51" s="52">
        <v>6.3</v>
      </c>
      <c r="K51" s="2">
        <v>3.31</v>
      </c>
      <c r="L51" s="2">
        <v>3.7803</v>
      </c>
      <c r="M51" s="2">
        <v>4.0730000000000004</v>
      </c>
      <c r="O51" s="42"/>
    </row>
    <row r="52" spans="1:15">
      <c r="A52">
        <v>202309</v>
      </c>
      <c r="B52" s="41">
        <f>+[1]Grafico_avec_FWL!AE43</f>
        <v>8.5663988130107657E-2</v>
      </c>
      <c r="C52" s="152">
        <f>+[1]Grafico_avec_FWL!AF43</f>
        <v>4.592463453161455E-2</v>
      </c>
      <c r="G52" s="41">
        <f>+[1]Grafico_avec_FWL!AD43</f>
        <v>3.951803916327E-2</v>
      </c>
      <c r="H52" s="2">
        <f>+H51</f>
        <v>-0.1</v>
      </c>
      <c r="I52" s="51">
        <v>4.8</v>
      </c>
      <c r="J52" s="52">
        <v>6.6</v>
      </c>
      <c r="K52" s="2">
        <v>3.45</v>
      </c>
      <c r="L52" s="2">
        <v>3.88</v>
      </c>
      <c r="M52" s="2">
        <v>4.1492000000000004</v>
      </c>
      <c r="O52" s="42"/>
    </row>
    <row r="53" spans="1:15">
      <c r="A53">
        <v>202310</v>
      </c>
      <c r="B53" s="41">
        <f>+[1]Grafico_avec_FWL!AE44</f>
        <v>8.7587930073862577E-2</v>
      </c>
      <c r="C53" s="152">
        <f>+[1]Grafico_avec_FWL!AF44</f>
        <v>5.0326454586494394E-2</v>
      </c>
      <c r="D53" s="2"/>
      <c r="E53" s="2"/>
      <c r="F53" s="2"/>
      <c r="G53" s="41">
        <f>+[1]Grafico_avec_FWL!AD44</f>
        <v>3.951803916327E-2</v>
      </c>
      <c r="H53" s="3">
        <f>+gdp!D30</f>
        <v>0.6</v>
      </c>
      <c r="I53" s="51">
        <v>3.2</v>
      </c>
      <c r="J53" s="52">
        <v>6.7</v>
      </c>
      <c r="K53" s="2">
        <v>3.59</v>
      </c>
      <c r="L53" s="2">
        <v>3.97</v>
      </c>
      <c r="M53" s="2">
        <v>4.16</v>
      </c>
      <c r="O53" s="42"/>
    </row>
    <row r="54" spans="1:15" s="35" customFormat="1">
      <c r="A54" s="35">
        <v>202311</v>
      </c>
      <c r="B54" s="41">
        <f>+[1]Grafico_avec_FWL!AE45</f>
        <v>8.6181570517426295E-2</v>
      </c>
      <c r="C54" s="152">
        <f>+[1]Grafico_avec_FWL!AF45</f>
        <v>5.2245681423212627E-2</v>
      </c>
      <c r="D54" s="46"/>
      <c r="E54" s="46"/>
      <c r="F54" s="46"/>
      <c r="G54" s="41">
        <f>+[1]Grafico_avec_FWL!AD45</f>
        <v>3.951803916327E-2</v>
      </c>
      <c r="H54" s="46">
        <f>+H53</f>
        <v>0.6</v>
      </c>
      <c r="I54" s="64">
        <v>2.2000000000000002</v>
      </c>
      <c r="J54" s="65">
        <v>6.7</v>
      </c>
      <c r="K54" s="46">
        <v>3.3</v>
      </c>
      <c r="L54" s="46">
        <v>3.97</v>
      </c>
      <c r="M54" s="46">
        <v>4.0221</v>
      </c>
    </row>
    <row r="55" spans="1:15">
      <c r="A55">
        <v>202312</v>
      </c>
      <c r="B55" s="41">
        <f>+[1]Grafico_avec_FWL!AE46</f>
        <v>8.2700900180251988E-2</v>
      </c>
      <c r="C55" s="152">
        <f>+[1]Grafico_avec_FWL!AF46</f>
        <v>4.4757069496038866E-2</v>
      </c>
      <c r="D55" s="3"/>
      <c r="E55" s="3"/>
      <c r="F55" s="3"/>
      <c r="H55" s="3">
        <f>+H54</f>
        <v>0.6</v>
      </c>
      <c r="I55" s="51">
        <v>1.9</v>
      </c>
      <c r="J55" s="53">
        <v>6.7</v>
      </c>
      <c r="K55" s="3">
        <v>2.85</v>
      </c>
      <c r="L55" s="3">
        <v>3.93</v>
      </c>
      <c r="M55" s="2">
        <v>3.6699000000000002</v>
      </c>
    </row>
    <row r="56" spans="1:15">
      <c r="A56">
        <v>202401</v>
      </c>
      <c r="B56" s="41">
        <f>+[1]Grafico_avec_FWL!AE47</f>
        <v>7.8116859541138464E-2</v>
      </c>
      <c r="C56" s="152">
        <f>+[1]Grafico_avec_FWL!AF47</f>
        <v>4.228034757753777E-2</v>
      </c>
      <c r="D56" s="3"/>
      <c r="E56" s="3"/>
      <c r="F56" s="3"/>
      <c r="G56" s="41">
        <f>+[1]Grafico_avec_FWL!AD47</f>
        <v>7.56582593889637E-2</v>
      </c>
      <c r="H56" s="50">
        <f>+gdp!D31</f>
        <v>0.6</v>
      </c>
      <c r="I56" s="51">
        <v>2.5</v>
      </c>
      <c r="J56" s="54">
        <v>6.8</v>
      </c>
      <c r="K56" s="3">
        <v>2.97</v>
      </c>
      <c r="L56" s="3">
        <v>3.93</v>
      </c>
      <c r="M56" s="2">
        <v>3.6092</v>
      </c>
    </row>
    <row r="57" spans="1:15">
      <c r="A57">
        <v>202402</v>
      </c>
      <c r="B57" s="41">
        <f>+[1]Grafico_avec_FWL!AE48</f>
        <v>7.8541085683690753E-2</v>
      </c>
      <c r="C57" s="152">
        <f>+[1]Grafico_avec_FWL!AF48</f>
        <v>4.6871655924478721E-2</v>
      </c>
      <c r="D57" s="3"/>
      <c r="E57" s="3"/>
      <c r="F57" s="3"/>
      <c r="G57" s="41">
        <f>+[1]Grafico_avec_FWL!AD48</f>
        <v>7.56582593889637E-2</v>
      </c>
      <c r="H57" s="50">
        <f>+H56</f>
        <v>0.6</v>
      </c>
      <c r="I57" s="51">
        <v>2.2999999999999998</v>
      </c>
      <c r="J57" s="54">
        <v>6.8</v>
      </c>
      <c r="K57" s="3">
        <v>3.06</v>
      </c>
      <c r="L57" s="3">
        <v>3.92</v>
      </c>
      <c r="M57" s="2">
        <v>3.6705000000000001</v>
      </c>
    </row>
    <row r="58" spans="1:15">
      <c r="A58">
        <v>202403</v>
      </c>
      <c r="B58" s="41">
        <f>+[1]Grafico_avec_FWL!AE49</f>
        <v>7.9913248604454104E-2</v>
      </c>
      <c r="C58" s="152">
        <f>+[1]Grafico_avec_FWL!AF49</f>
        <v>5.0256146543610145E-2</v>
      </c>
      <c r="D58" s="3"/>
      <c r="E58" s="3"/>
      <c r="F58" s="3"/>
      <c r="G58" s="41">
        <f>+[1]Grafico_avec_FWL!AD49</f>
        <v>7.56582593889637E-2</v>
      </c>
      <c r="H58" s="50">
        <f>+H57</f>
        <v>0.6</v>
      </c>
      <c r="I58" s="51">
        <v>2.6</v>
      </c>
      <c r="J58" s="54">
        <v>6.8</v>
      </c>
      <c r="K58" s="3">
        <v>3.02</v>
      </c>
      <c r="L58" s="3">
        <v>3.92</v>
      </c>
      <c r="M58" s="2">
        <v>3.7162000000000002</v>
      </c>
    </row>
    <row r="59" spans="1:15">
      <c r="A59">
        <v>202404</v>
      </c>
      <c r="B59" s="41">
        <f>+[1]Grafico_avec_FWL!AE50</f>
        <v>7.6047458843195984E-2</v>
      </c>
      <c r="C59" s="152">
        <f>+[1]Grafico_avec_FWL!AF50</f>
        <v>4.9836932807369609E-2</v>
      </c>
      <c r="D59" s="3"/>
      <c r="E59" s="3"/>
      <c r="F59" s="3"/>
      <c r="G59" s="41">
        <f>+[1]Grafico_avec_FWL!AD50</f>
        <v>7.56582593889637E-2</v>
      </c>
      <c r="H59" s="50">
        <f>+gdp!D32</f>
        <v>0.4</v>
      </c>
      <c r="I59" s="51">
        <v>2.2999999999999998</v>
      </c>
      <c r="J59" s="54">
        <v>6.1</v>
      </c>
      <c r="K59" s="3">
        <v>3.13</v>
      </c>
      <c r="L59" s="3">
        <v>3.89</v>
      </c>
      <c r="M59" s="2">
        <v>3.7025000000000001</v>
      </c>
    </row>
    <row r="60" spans="1:15">
      <c r="A60">
        <v>202405</v>
      </c>
      <c r="B60" s="41">
        <f>+[1]Grafico_avec_FWL!AE51</f>
        <v>7.3365349718296224E-2</v>
      </c>
      <c r="C60" s="152">
        <f>+[1]Grafico_avec_FWL!AF51</f>
        <v>5.1836859365541298E-2</v>
      </c>
      <c r="D60" s="3"/>
      <c r="E60" s="3"/>
      <c r="F60" s="3"/>
      <c r="G60" s="41">
        <f>+[1]Grafico_avec_FWL!AD51</f>
        <v>7.56582593889637E-2</v>
      </c>
      <c r="H60" s="50">
        <f>+H59</f>
        <v>0.4</v>
      </c>
      <c r="I60" s="51">
        <v>3.8</v>
      </c>
      <c r="J60" s="54">
        <v>6.1</v>
      </c>
      <c r="K60" s="3">
        <v>3.16</v>
      </c>
      <c r="L60" s="3">
        <v>3.81</v>
      </c>
      <c r="M60" s="2">
        <v>3.6821000000000002</v>
      </c>
    </row>
    <row r="61" spans="1:15">
      <c r="A61">
        <v>202406</v>
      </c>
      <c r="B61" s="41">
        <f>+[1]Grafico_avec_FWL!AE52</f>
        <v>7.4709829845040696E-2</v>
      </c>
      <c r="C61" s="152">
        <f>+[1]Grafico_avec_FWL!AF52</f>
        <v>5.6354127939814029E-2</v>
      </c>
      <c r="D61" s="3"/>
      <c r="E61" s="3"/>
      <c r="F61" s="3"/>
      <c r="G61" s="41">
        <f>+[1]Grafico_avec_FWL!AD52</f>
        <v>7.56582593889637E-2</v>
      </c>
      <c r="H61" s="50">
        <f>+H60</f>
        <v>0.4</v>
      </c>
      <c r="I61" s="51">
        <v>3.1</v>
      </c>
      <c r="J61" s="54">
        <v>6.1</v>
      </c>
      <c r="K61" s="5">
        <v>3.19</v>
      </c>
      <c r="L61" s="5">
        <v>3.72</v>
      </c>
      <c r="M61" s="2">
        <v>3.6496</v>
      </c>
    </row>
    <row r="62" spans="1:15">
      <c r="A62">
        <v>202407</v>
      </c>
      <c r="B62" s="41">
        <f>+[1]Grafico_avec_FWL!AE53</f>
        <v>7.2452310960685745E-2</v>
      </c>
      <c r="C62" s="152">
        <f>+[1]Grafico_avec_FWL!AF53</f>
        <v>5.7186475451539383E-2</v>
      </c>
      <c r="D62" s="3"/>
      <c r="E62" s="3"/>
      <c r="F62" s="3"/>
      <c r="G62" s="41">
        <f>+[1]Grafico_avec_FWL!AD53</f>
        <v>7.56582593889637E-2</v>
      </c>
      <c r="H62" s="50">
        <f>+gdp!D33</f>
        <v>0.4</v>
      </c>
      <c r="I62" s="51">
        <v>2.7</v>
      </c>
      <c r="J62" s="54">
        <v>6.1</v>
      </c>
      <c r="K62" s="5">
        <v>3.1</v>
      </c>
      <c r="L62" s="5">
        <v>3.68</v>
      </c>
      <c r="M62" s="3">
        <v>3.5259</v>
      </c>
    </row>
    <row r="63" spans="1:15">
      <c r="A63">
        <v>202408</v>
      </c>
      <c r="B63" s="41">
        <f>+[1]Grafico_avec_FWL!AE54</f>
        <v>7.2553379598873133E-2</v>
      </c>
      <c r="C63" s="152">
        <f>+[1]Grafico_avec_FWL!AF54</f>
        <v>5.9794329325227977E-2</v>
      </c>
      <c r="D63" s="3"/>
      <c r="E63" s="3"/>
      <c r="F63" s="3"/>
      <c r="G63" s="41">
        <f>+[1]Grafico_avec_FWL!AD54</f>
        <v>7.56582593889637E-2</v>
      </c>
      <c r="H63" s="50">
        <f>+H62</f>
        <v>0.4</v>
      </c>
      <c r="I63" s="51">
        <v>1.8</v>
      </c>
      <c r="J63" s="54">
        <v>6.1</v>
      </c>
      <c r="K63" s="5">
        <v>2.88</v>
      </c>
      <c r="L63" s="5">
        <v>3.55</v>
      </c>
      <c r="M63" s="76">
        <v>3.17</v>
      </c>
    </row>
    <row r="64" spans="1:15">
      <c r="A64">
        <v>202409</v>
      </c>
      <c r="B64" s="41">
        <f>+[1]Grafico_avec_FWL!AE55</f>
        <v>6.9116032360326277E-2</v>
      </c>
      <c r="C64" s="152">
        <f>+[1]Grafico_avec_FWL!AF55</f>
        <v>6.0387699722698022E-2</v>
      </c>
      <c r="D64" s="3"/>
      <c r="E64" s="3"/>
      <c r="F64" s="3"/>
      <c r="G64" s="41">
        <f>+[1]Grafico_avec_FWL!AD55</f>
        <v>7.56582593889637E-2</v>
      </c>
      <c r="H64" s="50">
        <f>+H63</f>
        <v>0.4</v>
      </c>
      <c r="I64" s="51">
        <v>2.6</v>
      </c>
      <c r="J64" s="54">
        <v>6.1</v>
      </c>
      <c r="K64" s="5">
        <v>2.78</v>
      </c>
      <c r="L64" s="5">
        <v>3.43</v>
      </c>
      <c r="M64" s="76">
        <v>2.94</v>
      </c>
    </row>
    <row r="65" spans="1:15">
      <c r="A65">
        <v>202410</v>
      </c>
      <c r="B65" s="41">
        <f>+[1]Grafico_avec_FWL!AE56</f>
        <v>6.4832587234437189E-2</v>
      </c>
      <c r="C65" s="152">
        <f>+[1]Grafico_avec_FWL!AF56</f>
        <v>6.0609796043892029E-2</v>
      </c>
      <c r="D65" s="3"/>
      <c r="E65" s="3"/>
      <c r="F65" s="3"/>
      <c r="G65" s="41">
        <f>+[1]Grafico_avec_FWL!AD56</f>
        <v>7.56582593889637E-2</v>
      </c>
      <c r="H65" s="2">
        <f>+gdp!D34</f>
        <v>1.4</v>
      </c>
      <c r="I65" s="51">
        <v>2.6</v>
      </c>
      <c r="J65" s="76">
        <v>6.7</v>
      </c>
      <c r="K65" s="76">
        <v>2.73</v>
      </c>
      <c r="L65" s="5">
        <v>3.17</v>
      </c>
      <c r="M65" s="76">
        <v>2.69</v>
      </c>
    </row>
    <row r="66" spans="1:15">
      <c r="A66">
        <v>202411</v>
      </c>
      <c r="B66" s="41">
        <f>+[1]Grafico_avec_FWL!AE57</f>
        <v>6.1169307088017981E-2</v>
      </c>
      <c r="C66" s="152">
        <f>+[1]Grafico_avec_FWL!AF57</f>
        <v>5.4368798962878044E-2</v>
      </c>
      <c r="D66" s="3"/>
      <c r="E66" s="3"/>
      <c r="F66" s="3"/>
      <c r="G66" s="41">
        <f>+[1]Grafico_avec_FWL!AD57</f>
        <v>7.56582593889637E-2</v>
      </c>
      <c r="H66" s="2">
        <f>+H65</f>
        <v>1.4</v>
      </c>
      <c r="I66" s="77">
        <v>2.7</v>
      </c>
      <c r="J66" s="76">
        <v>6.7</v>
      </c>
      <c r="K66" s="76">
        <v>2.79</v>
      </c>
      <c r="L66" s="78">
        <v>3.01</v>
      </c>
      <c r="M66" s="76">
        <v>2.5099999999999998</v>
      </c>
    </row>
    <row r="67" spans="1:15">
      <c r="A67">
        <v>202412</v>
      </c>
      <c r="B67" s="41">
        <f>+[1]Grafico_avec_FWL!AE58</f>
        <v>5.8174646634999841E-2</v>
      </c>
      <c r="C67" s="152">
        <f>+[1]Grafico_avec_FWL!AF58</f>
        <v>5.3372002900559046E-2</v>
      </c>
      <c r="D67" s="3"/>
      <c r="E67" s="3"/>
      <c r="F67" s="3"/>
      <c r="G67" s="41">
        <f>+[1]Grafico_avec_FWL!AD58</f>
        <v>7.56582593889637E-2</v>
      </c>
      <c r="H67" s="2">
        <f>+H66</f>
        <v>1.4</v>
      </c>
      <c r="I67" s="77">
        <v>3.1</v>
      </c>
      <c r="J67" s="76">
        <v>6.7</v>
      </c>
      <c r="K67" s="76">
        <v>2.68</v>
      </c>
      <c r="L67" s="78">
        <v>2.82</v>
      </c>
      <c r="M67" s="76">
        <v>2.44</v>
      </c>
    </row>
    <row r="68" spans="1:15">
      <c r="A68">
        <v>202501</v>
      </c>
      <c r="B68" s="41">
        <f>+[1]Grafico_avec_FWL!AE59</f>
        <v>6.0101463209308106E-2</v>
      </c>
      <c r="C68" s="152">
        <f>+[1]Grafico_avec_FWL!AF59</f>
        <v>5.4706977734652544E-2</v>
      </c>
      <c r="D68" s="3"/>
      <c r="E68" s="3"/>
      <c r="F68" s="3"/>
      <c r="G68" s="41">
        <f>+[1]Grafico_avec_FWL!AD59</f>
        <v>7.56582593889637E-2</v>
      </c>
      <c r="H68" s="2">
        <f>+gdp!D35</f>
        <v>-0.4</v>
      </c>
      <c r="I68" s="77">
        <v>2.7</v>
      </c>
      <c r="J68" s="76">
        <v>6.6</v>
      </c>
      <c r="K68" s="76">
        <v>2.96</v>
      </c>
      <c r="L68" s="78">
        <v>2.7</v>
      </c>
      <c r="M68" s="76">
        <v>2.5299999999999998</v>
      </c>
    </row>
    <row r="69" spans="1:15">
      <c r="A69">
        <v>202502</v>
      </c>
      <c r="B69" s="41">
        <f>+[1]Grafico_avec_FWL!AE60</f>
        <v>5.690314373432713E-2</v>
      </c>
      <c r="C69" s="152">
        <f>+[1]Grafico_avec_FWL!AF60</f>
        <v>5.4916509076109246E-2</v>
      </c>
      <c r="D69" s="3"/>
      <c r="E69" s="3"/>
      <c r="F69" s="3"/>
      <c r="G69" s="41">
        <f>+[1]Grafico_avec_FWL!AD60</f>
        <v>7.56582593889637E-2</v>
      </c>
      <c r="H69" s="2">
        <f>+H68</f>
        <v>-0.4</v>
      </c>
      <c r="I69" s="77">
        <v>2.5</v>
      </c>
      <c r="J69" s="76">
        <v>6.6</v>
      </c>
      <c r="K69" s="76">
        <v>2.95</v>
      </c>
      <c r="L69" s="78">
        <v>2.52</v>
      </c>
      <c r="M69" s="76">
        <v>2.41</v>
      </c>
    </row>
    <row r="70" spans="1:15">
      <c r="A70">
        <v>202503</v>
      </c>
      <c r="B70" s="41">
        <f>+[1]Grafico_avec_FWL!AE61</f>
        <v>5.4384350325507341E-2</v>
      </c>
      <c r="C70" s="152">
        <f>+[1]Grafico_avec_FWL!AF61</f>
        <v>5.1889657562178206E-2</v>
      </c>
      <c r="D70" s="3"/>
      <c r="E70" s="3"/>
      <c r="F70" s="3"/>
      <c r="G70" s="41">
        <f>+[1]Grafico_avec_FWL!AD61</f>
        <v>7.56582593889637E-2</v>
      </c>
      <c r="H70" s="2">
        <f>+H69</f>
        <v>-0.4</v>
      </c>
      <c r="I70" s="77">
        <v>1.9</v>
      </c>
      <c r="J70" s="76">
        <v>6.6</v>
      </c>
      <c r="K70" s="76">
        <v>3.29</v>
      </c>
      <c r="L70" s="78">
        <v>2.44</v>
      </c>
      <c r="M70" s="76">
        <v>2.4</v>
      </c>
    </row>
    <row r="71" spans="1:15">
      <c r="A71">
        <v>202504</v>
      </c>
      <c r="B71" s="41">
        <f>+[1]Grafico_avec_FWL!AE62</f>
        <v>5.6576463312127956E-2</v>
      </c>
      <c r="C71" s="152">
        <f>+[1]Grafico_avec_FWL!AF62</f>
        <v>5.5663456434042469E-2</v>
      </c>
      <c r="D71" s="3"/>
      <c r="E71" s="3"/>
      <c r="F71" s="3"/>
      <c r="G71" s="41">
        <f>+[1]Grafico_avec_FWL!AD62</f>
        <v>7.56582593889637E-2</v>
      </c>
      <c r="H71" s="2">
        <f>+gdp!D36</f>
        <v>0.6</v>
      </c>
      <c r="I71" s="77">
        <v>2.1</v>
      </c>
      <c r="J71" s="76">
        <v>5.9</v>
      </c>
      <c r="K71" s="76">
        <v>3.11</v>
      </c>
      <c r="L71" s="78">
        <v>2.25</v>
      </c>
      <c r="M71" s="76">
        <v>2.14</v>
      </c>
    </row>
    <row r="72" spans="1:15">
      <c r="A72">
        <v>202505</v>
      </c>
      <c r="B72" s="41">
        <f>+[1]Grafico_avec_FWL!AE63</f>
        <v>6.0178258710278404E-2</v>
      </c>
      <c r="C72" s="41">
        <f>B72</f>
        <v>6.0178258710278404E-2</v>
      </c>
      <c r="D72" s="3"/>
      <c r="E72" s="3"/>
      <c r="F72" s="3"/>
      <c r="G72" s="41">
        <f>+[1]Grafico_avec_FWL!AD63</f>
        <v>7.56582593889637E-2</v>
      </c>
      <c r="H72" s="2">
        <f>+H71</f>
        <v>0.6</v>
      </c>
      <c r="I72" s="77">
        <v>1.7</v>
      </c>
      <c r="J72" s="76">
        <v>5.9</v>
      </c>
      <c r="K72" s="76">
        <v>3.08</v>
      </c>
      <c r="L72" s="78">
        <v>2.09</v>
      </c>
      <c r="M72" s="76">
        <v>2.08</v>
      </c>
    </row>
    <row r="73" spans="1:15">
      <c r="A73">
        <v>202506</v>
      </c>
      <c r="B73" s="41">
        <f>+[1]Grafico_avec_FWL!AE64</f>
        <v>5.6180351617684345E-2</v>
      </c>
      <c r="C73" s="41">
        <f t="shared" ref="C73:C74" si="8">B73</f>
        <v>5.6180351617684345E-2</v>
      </c>
      <c r="D73" s="3"/>
      <c r="E73" s="3"/>
      <c r="F73" s="3">
        <f>B73</f>
        <v>5.6180351617684345E-2</v>
      </c>
      <c r="G73" s="41">
        <f>+[1]Grafico_avec_FWL!AD64</f>
        <v>7.56582593889637E-2</v>
      </c>
      <c r="H73" s="2">
        <f>+H72</f>
        <v>0.6</v>
      </c>
      <c r="I73" s="77">
        <v>2.1</v>
      </c>
      <c r="J73" s="76">
        <v>5.9</v>
      </c>
      <c r="K73" s="76">
        <v>3.02</v>
      </c>
      <c r="L73" s="78">
        <v>1.98</v>
      </c>
      <c r="M73" s="76">
        <v>2.08</v>
      </c>
    </row>
    <row r="74" spans="1:15">
      <c r="A74">
        <v>202507</v>
      </c>
      <c r="B74" s="41">
        <f>+[1]Grafico_avec_FWL!AE65</f>
        <v>5.6817425436488954E-2</v>
      </c>
      <c r="C74" s="41">
        <f t="shared" si="8"/>
        <v>5.6817425436488954E-2</v>
      </c>
      <c r="D74" s="3">
        <f>+B74</f>
        <v>5.6817425436488954E-2</v>
      </c>
      <c r="E74" s="3">
        <f>+B74</f>
        <v>5.6817425436488954E-2</v>
      </c>
      <c r="F74" s="41">
        <f>+B74</f>
        <v>5.6817425436488954E-2</v>
      </c>
      <c r="G74" s="41">
        <f>+[1]Grafico_avec_FWL!AD65</f>
        <v>7.56582593889637E-2</v>
      </c>
      <c r="H74" s="2">
        <f>+H73</f>
        <v>0.6</v>
      </c>
      <c r="I74" s="77">
        <v>2.5</v>
      </c>
      <c r="J74" s="2">
        <f>+J73</f>
        <v>5.9</v>
      </c>
      <c r="K74" s="76">
        <v>3.11</v>
      </c>
      <c r="L74" s="78">
        <v>1.99</v>
      </c>
      <c r="M74" s="76">
        <v>2.08</v>
      </c>
    </row>
    <row r="75" spans="1:15">
      <c r="A75">
        <v>202508</v>
      </c>
      <c r="D75" s="103">
        <f>+Consolidado_projection!J29</f>
        <v>5.2936720222384465E-2</v>
      </c>
      <c r="E75" s="103">
        <f>+'Consolidado_projection (2)'!H29</f>
        <v>4.8041119795999995E-2</v>
      </c>
      <c r="F75" s="186">
        <v>6.0464999999999998E-2</v>
      </c>
      <c r="G75" s="41">
        <f>+[1]Grafico_avec_FWL!AD66</f>
        <v>7.56582593889637E-2</v>
      </c>
      <c r="H75" s="176">
        <f>R23</f>
        <v>1.85</v>
      </c>
      <c r="I75" s="179">
        <f>+I74</f>
        <v>2.5</v>
      </c>
      <c r="J75" s="176">
        <f>T23</f>
        <v>6.2564355999999997</v>
      </c>
      <c r="K75" s="176">
        <f>U23</f>
        <v>2.84771296523183</v>
      </c>
      <c r="L75" s="176">
        <f>V23</f>
        <v>2.6736147186147199</v>
      </c>
      <c r="M75" s="176">
        <f>W23</f>
        <v>1.9079999999999999</v>
      </c>
      <c r="O75" s="177"/>
    </row>
    <row r="76" spans="1:15">
      <c r="A76">
        <v>202509</v>
      </c>
      <c r="D76" s="103">
        <f>+Consolidado_projection!J30</f>
        <v>5.2851520222384464E-2</v>
      </c>
      <c r="E76" s="103">
        <f>+'Consolidado_projection (2)'!H30</f>
        <v>4.7375419795999997E-2</v>
      </c>
      <c r="F76" s="187">
        <v>6.012E-2</v>
      </c>
      <c r="G76" s="41">
        <f>+[1]Grafico_avec_FWL!AD67</f>
        <v>7.56582593889637E-2</v>
      </c>
      <c r="H76" s="176">
        <f t="shared" ref="H76:H91" si="9">R24</f>
        <v>1.85</v>
      </c>
      <c r="I76" s="179">
        <f t="shared" ref="I76:I91" si="10">+I75</f>
        <v>2.5</v>
      </c>
      <c r="J76" s="176">
        <f t="shared" ref="J76:M76" si="11">T24</f>
        <v>6.2564355999999997</v>
      </c>
      <c r="K76" s="176">
        <f t="shared" si="11"/>
        <v>2.84771296523183</v>
      </c>
      <c r="L76" s="176">
        <f t="shared" si="11"/>
        <v>2.6736147186147199</v>
      </c>
      <c r="M76" s="176">
        <f t="shared" si="11"/>
        <v>1.867</v>
      </c>
      <c r="O76" s="177"/>
    </row>
    <row r="77" spans="1:15">
      <c r="A77">
        <v>202510</v>
      </c>
      <c r="D77" s="103">
        <f>+Consolidado_projection!J31</f>
        <v>5.3919947810384457E-2</v>
      </c>
      <c r="E77" s="103">
        <f>+'Consolidado_projection (2)'!H31</f>
        <v>4.8043745151999995E-2</v>
      </c>
      <c r="F77" s="187">
        <v>5.8892E-2</v>
      </c>
      <c r="G77" s="41">
        <f>+[1]Grafico_avec_FWL!AD68</f>
        <v>7.56582593889637E-2</v>
      </c>
      <c r="H77" s="176">
        <f t="shared" si="9"/>
        <v>1.78</v>
      </c>
      <c r="I77" s="179">
        <f t="shared" si="10"/>
        <v>2.5</v>
      </c>
      <c r="J77" s="176">
        <f t="shared" ref="J77:M77" si="12">T25</f>
        <v>6.2095871999999996</v>
      </c>
      <c r="K77" s="176">
        <f t="shared" si="12"/>
        <v>2.7977129652318302</v>
      </c>
      <c r="L77" s="176">
        <f t="shared" si="12"/>
        <v>2.4236147186147199</v>
      </c>
      <c r="M77" s="176">
        <f t="shared" si="12"/>
        <v>1.8440000000000001</v>
      </c>
      <c r="O77" s="177"/>
    </row>
    <row r="78" spans="1:15">
      <c r="A78">
        <v>202511</v>
      </c>
      <c r="D78" s="103">
        <f>+Consolidado_projection!J32</f>
        <v>5.3919947810384457E-2</v>
      </c>
      <c r="E78" s="103">
        <f>+'Consolidado_projection (2)'!H32</f>
        <v>4.8176885151999999E-2</v>
      </c>
      <c r="F78" s="187">
        <v>5.9152999999999997E-2</v>
      </c>
      <c r="G78" s="41">
        <f>+[1]Grafico_avec_FWL!AD69</f>
        <v>7.56582593889637E-2</v>
      </c>
      <c r="H78" s="176">
        <f t="shared" si="9"/>
        <v>1.78</v>
      </c>
      <c r="I78" s="179">
        <f t="shared" si="10"/>
        <v>2.5</v>
      </c>
      <c r="J78" s="176">
        <f t="shared" ref="J78:M78" si="13">T26</f>
        <v>6.2095871999999996</v>
      </c>
      <c r="K78" s="176">
        <f t="shared" si="13"/>
        <v>2.7977129652318302</v>
      </c>
      <c r="L78" s="176">
        <f t="shared" si="13"/>
        <v>2.4236147186147199</v>
      </c>
      <c r="M78" s="176">
        <f t="shared" si="13"/>
        <v>1.875</v>
      </c>
      <c r="O78" s="177"/>
    </row>
    <row r="79" spans="1:15">
      <c r="A79">
        <v>202512</v>
      </c>
      <c r="D79" s="103">
        <f>+Consolidado_projection!J33</f>
        <v>5.2918271378384459E-2</v>
      </c>
      <c r="E79" s="103">
        <f>+'Consolidado_projection (2)'!H33</f>
        <v>4.7786975151999991E-2</v>
      </c>
      <c r="F79" s="187">
        <v>5.8210999999999999E-2</v>
      </c>
      <c r="G79" s="41">
        <f>+[1]Grafico_avec_FWL!AD70</f>
        <v>7.56582593889637E-2</v>
      </c>
      <c r="H79" s="176">
        <f t="shared" si="9"/>
        <v>1.78</v>
      </c>
      <c r="I79" s="179">
        <f t="shared" si="10"/>
        <v>2.5</v>
      </c>
      <c r="J79" s="176">
        <f t="shared" ref="J79:M79" si="14">T27</f>
        <v>6.2095871999999996</v>
      </c>
      <c r="K79" s="176">
        <f t="shared" si="14"/>
        <v>2.7977129652318302</v>
      </c>
      <c r="L79" s="176">
        <f t="shared" si="14"/>
        <v>2.4236147186147199</v>
      </c>
      <c r="M79" s="176">
        <f t="shared" si="14"/>
        <v>1.7629999999999999</v>
      </c>
      <c r="O79" s="177"/>
    </row>
    <row r="80" spans="1:15">
      <c r="A80">
        <v>202601</v>
      </c>
      <c r="D80" s="103">
        <f>+Consolidado_projection!J34</f>
        <v>5.3025778498384468E-2</v>
      </c>
      <c r="E80" s="103">
        <f>+'Consolidado_projection (2)'!H34</f>
        <v>4.763539E-2</v>
      </c>
      <c r="F80" s="187">
        <v>6.1734999999999998E-2</v>
      </c>
      <c r="G80" s="41">
        <f>+G79</f>
        <v>7.56582593889637E-2</v>
      </c>
      <c r="H80" s="176">
        <f t="shared" si="9"/>
        <v>1.79</v>
      </c>
      <c r="I80" s="179">
        <f t="shared" si="10"/>
        <v>2.5</v>
      </c>
      <c r="J80" s="176">
        <f t="shared" ref="J80:M80" si="15">T28</f>
        <v>6.4</v>
      </c>
      <c r="K80" s="176">
        <f t="shared" si="15"/>
        <v>1.708</v>
      </c>
      <c r="L80" s="179">
        <f>L79</f>
        <v>2.4236147186147199</v>
      </c>
      <c r="M80" s="176">
        <f t="shared" si="15"/>
        <v>2.097</v>
      </c>
      <c r="O80" s="177"/>
    </row>
    <row r="81" spans="1:19">
      <c r="A81">
        <v>202602</v>
      </c>
      <c r="D81" s="103">
        <f>+Consolidado_projection!J35</f>
        <v>5.3025778498384468E-2</v>
      </c>
      <c r="E81" s="103">
        <f>+'Consolidado_projection (2)'!H35</f>
        <v>4.7930199999999999E-2</v>
      </c>
      <c r="F81" s="187">
        <v>6.0671000000000003E-2</v>
      </c>
      <c r="G81" s="41">
        <f t="shared" ref="G81:G91" si="16">+G80</f>
        <v>7.56582593889637E-2</v>
      </c>
      <c r="H81" s="176">
        <f t="shared" si="9"/>
        <v>1.79</v>
      </c>
      <c r="I81" s="179">
        <f t="shared" si="10"/>
        <v>2.5</v>
      </c>
      <c r="J81" s="176">
        <f t="shared" ref="J81:M81" si="17">T29</f>
        <v>6.4</v>
      </c>
      <c r="K81" s="176">
        <f t="shared" si="17"/>
        <v>1.637</v>
      </c>
      <c r="L81" s="179">
        <f t="shared" ref="L81:L91" si="18">L80</f>
        <v>2.4236147186147199</v>
      </c>
      <c r="M81" s="176">
        <f t="shared" si="17"/>
        <v>1.9710000000000001</v>
      </c>
      <c r="O81" s="177"/>
    </row>
    <row r="82" spans="1:19">
      <c r="A82">
        <v>202603</v>
      </c>
      <c r="D82" s="103">
        <f>+Consolidado_projection!J36</f>
        <v>5.2481492194384465E-2</v>
      </c>
      <c r="E82" s="103">
        <f>+'Consolidado_projection (2)'!H36</f>
        <v>4.6865079999999996E-2</v>
      </c>
      <c r="F82" s="187">
        <v>6.0065E-2</v>
      </c>
      <c r="G82" s="41">
        <f t="shared" si="16"/>
        <v>7.56582593889637E-2</v>
      </c>
      <c r="H82" s="176">
        <f t="shared" si="9"/>
        <v>1.79</v>
      </c>
      <c r="I82" s="179">
        <f t="shared" si="10"/>
        <v>2.5</v>
      </c>
      <c r="J82" s="176">
        <f t="shared" ref="J82:M82" si="19">T30</f>
        <v>6.4</v>
      </c>
      <c r="K82" s="176">
        <f t="shared" si="19"/>
        <v>1.6240000000000001</v>
      </c>
      <c r="L82" s="179">
        <f t="shared" si="18"/>
        <v>2.4236147186147199</v>
      </c>
      <c r="M82" s="176">
        <f t="shared" si="19"/>
        <v>1.899</v>
      </c>
      <c r="O82" s="177"/>
    </row>
    <row r="83" spans="1:19">
      <c r="A83">
        <v>202604</v>
      </c>
      <c r="D83" s="103">
        <f>+Consolidado_projection!J37</f>
        <v>5.1925629694384468E-2</v>
      </c>
      <c r="E83" s="103">
        <f>+'Consolidado_projection (2)'!H37</f>
        <v>4.9551732500000001E-2</v>
      </c>
      <c r="F83" s="187">
        <v>5.9237999999999999E-2</v>
      </c>
      <c r="G83" s="41">
        <f t="shared" si="16"/>
        <v>7.56582593889637E-2</v>
      </c>
      <c r="H83" s="176">
        <f t="shared" si="9"/>
        <v>1.87</v>
      </c>
      <c r="I83" s="179">
        <f t="shared" si="10"/>
        <v>2.5</v>
      </c>
      <c r="J83" s="176">
        <f t="shared" ref="J83:M83" si="20">T31</f>
        <v>6.4</v>
      </c>
      <c r="K83" s="176">
        <f t="shared" si="20"/>
        <v>1.639</v>
      </c>
      <c r="L83" s="179">
        <f t="shared" si="18"/>
        <v>2.4236147186147199</v>
      </c>
      <c r="M83" s="176">
        <f t="shared" si="20"/>
        <v>1.8049999999999999</v>
      </c>
      <c r="O83" s="177"/>
    </row>
    <row r="84" spans="1:19" ht="21">
      <c r="A84">
        <v>202605</v>
      </c>
      <c r="D84" s="103">
        <f>+Consolidado_projection!J38</f>
        <v>5.1925629694384468E-2</v>
      </c>
      <c r="E84" s="103">
        <f>+'Consolidado_projection (2)'!H38</f>
        <v>4.8353472500000001E-2</v>
      </c>
      <c r="F84" s="187">
        <v>5.8702999999999998E-2</v>
      </c>
      <c r="G84" s="41">
        <f t="shared" si="16"/>
        <v>7.56582593889637E-2</v>
      </c>
      <c r="H84" s="176">
        <f t="shared" si="9"/>
        <v>1.87</v>
      </c>
      <c r="I84" s="179">
        <f t="shared" si="10"/>
        <v>2.5</v>
      </c>
      <c r="J84" s="176">
        <f t="shared" ref="J84:M84" si="21">T32</f>
        <v>6.4</v>
      </c>
      <c r="K84" s="176">
        <f t="shared" si="21"/>
        <v>1.611</v>
      </c>
      <c r="L84" s="179">
        <v>2.2999999999999998</v>
      </c>
      <c r="M84" s="176">
        <f t="shared" si="21"/>
        <v>1.7929999999999999</v>
      </c>
      <c r="O84" s="177"/>
      <c r="P84" s="178" t="str">
        <f>"-&gt; forecast officiel donc pas reel"</f>
        <v>-&gt; forecast officiel donc pas reel</v>
      </c>
      <c r="Q84" s="177"/>
      <c r="R84" s="177"/>
      <c r="S84" s="177"/>
    </row>
    <row r="85" spans="1:19">
      <c r="A85">
        <v>202606</v>
      </c>
      <c r="D85" s="103">
        <f>+Consolidado_projection!J39</f>
        <v>5.1546556966384466E-2</v>
      </c>
      <c r="E85" s="103">
        <f>+'Consolidado_projection (2)'!H39</f>
        <v>4.7668752499999995E-2</v>
      </c>
      <c r="F85" s="187">
        <v>5.8659999999999997E-2</v>
      </c>
      <c r="G85" s="41">
        <f t="shared" si="16"/>
        <v>7.56582593889637E-2</v>
      </c>
      <c r="H85" s="176">
        <f t="shared" si="9"/>
        <v>1.87</v>
      </c>
      <c r="I85" s="179">
        <f t="shared" si="10"/>
        <v>2.5</v>
      </c>
      <c r="J85" s="176">
        <f t="shared" ref="J85:M85" si="22">T33</f>
        <v>6.4</v>
      </c>
      <c r="K85" s="176">
        <f t="shared" si="22"/>
        <v>1.591</v>
      </c>
      <c r="L85" s="179">
        <f t="shared" si="18"/>
        <v>2.2999999999999998</v>
      </c>
      <c r="M85" s="176">
        <f t="shared" si="22"/>
        <v>1.788</v>
      </c>
      <c r="O85" s="177"/>
    </row>
    <row r="86" spans="1:19">
      <c r="A86">
        <v>202607</v>
      </c>
      <c r="D86" s="103">
        <f>+Consolidado_projection!J40</f>
        <v>4.6879879515887603E-2</v>
      </c>
      <c r="E86" s="103">
        <f>+'Consolidado_projection (2)'!H40</f>
        <v>4.6802234999999998E-2</v>
      </c>
      <c r="F86" s="187">
        <v>5.7981999999999999E-2</v>
      </c>
      <c r="G86" s="41">
        <f t="shared" si="16"/>
        <v>7.56582593889637E-2</v>
      </c>
      <c r="H86" s="176">
        <f t="shared" si="9"/>
        <v>1.95</v>
      </c>
      <c r="I86" s="179">
        <f>2.6</f>
        <v>2.6</v>
      </c>
      <c r="J86" s="176">
        <f t="shared" ref="J86:M86" si="23">T34</f>
        <v>6.4</v>
      </c>
      <c r="K86" s="176">
        <f t="shared" si="23"/>
        <v>1.615</v>
      </c>
      <c r="L86" s="179">
        <f t="shared" si="18"/>
        <v>2.2999999999999998</v>
      </c>
      <c r="M86" s="176">
        <f t="shared" si="23"/>
        <v>1.728</v>
      </c>
      <c r="O86" s="177"/>
    </row>
    <row r="87" spans="1:19">
      <c r="A87">
        <v>202608</v>
      </c>
      <c r="D87" s="103">
        <f>+Consolidado_projection!J41</f>
        <v>4.6574579515887601E-2</v>
      </c>
      <c r="E87" s="103">
        <f>+'Consolidado_projection (2)'!H41</f>
        <v>4.6688115000000002E-2</v>
      </c>
      <c r="F87" s="187">
        <v>5.7105000000000003E-2</v>
      </c>
      <c r="G87" s="41">
        <f t="shared" si="16"/>
        <v>7.56582593889637E-2</v>
      </c>
      <c r="H87" s="176">
        <f t="shared" si="9"/>
        <v>1.95</v>
      </c>
      <c r="I87" s="179">
        <f t="shared" si="10"/>
        <v>2.6</v>
      </c>
      <c r="J87" s="176">
        <f t="shared" ref="J87:M87" si="24">T35</f>
        <v>6.4</v>
      </c>
      <c r="K87" s="176">
        <f t="shared" si="24"/>
        <v>1.5860000000000001</v>
      </c>
      <c r="L87" s="179">
        <f t="shared" si="18"/>
        <v>2.2999999999999998</v>
      </c>
      <c r="M87" s="176">
        <f t="shared" si="24"/>
        <v>1.6240000000000001</v>
      </c>
      <c r="O87" s="177"/>
    </row>
    <row r="88" spans="1:19">
      <c r="A88">
        <v>202609</v>
      </c>
      <c r="D88" s="103">
        <f>+Consolidado_projection!J42</f>
        <v>4.1669014496000002E-2</v>
      </c>
      <c r="E88" s="103">
        <f>+'Consolidado_projection (2)'!H42</f>
        <v>4.6640564999999995E-2</v>
      </c>
      <c r="F88" s="187">
        <v>5.6286999999999997E-2</v>
      </c>
      <c r="G88" s="41">
        <f t="shared" si="16"/>
        <v>7.56582593889637E-2</v>
      </c>
      <c r="H88" s="176">
        <f t="shared" si="9"/>
        <v>1.95</v>
      </c>
      <c r="I88" s="179">
        <f t="shared" si="10"/>
        <v>2.6</v>
      </c>
      <c r="J88" s="176">
        <f t="shared" ref="J88:M88" si="25">T36</f>
        <v>6.4</v>
      </c>
      <c r="K88" s="176">
        <f t="shared" si="25"/>
        <v>1.542</v>
      </c>
      <c r="L88" s="179">
        <f t="shared" si="18"/>
        <v>2.2999999999999998</v>
      </c>
      <c r="M88" s="176">
        <f t="shared" si="25"/>
        <v>1.5269999999999999</v>
      </c>
      <c r="O88" s="177"/>
    </row>
    <row r="89" spans="1:19">
      <c r="A89">
        <v>202610</v>
      </c>
      <c r="D89" s="103">
        <f>+Consolidado_projection!J43</f>
        <v>4.1428327596E-2</v>
      </c>
      <c r="E89" s="103">
        <f>+'Consolidado_projection (2)'!H43</f>
        <v>4.6066047499999999E-2</v>
      </c>
      <c r="F89" s="187">
        <v>5.5502000000000003E-2</v>
      </c>
      <c r="G89" s="41">
        <f t="shared" si="16"/>
        <v>7.56582593889637E-2</v>
      </c>
      <c r="H89" s="176">
        <f t="shared" si="9"/>
        <v>1.97</v>
      </c>
      <c r="I89" s="179">
        <f t="shared" si="10"/>
        <v>2.6</v>
      </c>
      <c r="J89" s="176">
        <f t="shared" ref="J89:M89" si="26">T37</f>
        <v>6.4</v>
      </c>
      <c r="K89" s="176">
        <f t="shared" si="26"/>
        <v>1.5069999999999999</v>
      </c>
      <c r="L89" s="179">
        <f t="shared" si="18"/>
        <v>2.2999999999999998</v>
      </c>
      <c r="M89" s="176">
        <f t="shared" si="26"/>
        <v>1.4350000000000001</v>
      </c>
      <c r="O89" s="177"/>
    </row>
    <row r="90" spans="1:19">
      <c r="A90">
        <v>202611</v>
      </c>
      <c r="D90" s="103">
        <f>+Consolidado_projection!J44</f>
        <v>4.1252547596E-2</v>
      </c>
      <c r="E90" s="103">
        <f>+'Consolidado_projection (2)'!H44</f>
        <v>4.5077007500000002E-2</v>
      </c>
      <c r="F90" s="187">
        <v>5.4870000000000002E-2</v>
      </c>
      <c r="G90" s="41">
        <f t="shared" si="16"/>
        <v>7.56582593889637E-2</v>
      </c>
      <c r="H90" s="176">
        <f t="shared" si="9"/>
        <v>1.97</v>
      </c>
      <c r="I90" s="179">
        <f t="shared" si="10"/>
        <v>2.6</v>
      </c>
      <c r="J90" s="176">
        <f t="shared" ref="J90:M90" si="27">T38</f>
        <v>6.4</v>
      </c>
      <c r="K90" s="176">
        <f t="shared" si="27"/>
        <v>1.4930000000000001</v>
      </c>
      <c r="L90" s="179">
        <f t="shared" si="18"/>
        <v>2.2999999999999998</v>
      </c>
      <c r="M90" s="176">
        <f t="shared" si="27"/>
        <v>1.36</v>
      </c>
      <c r="O90" s="177"/>
    </row>
    <row r="91" spans="1:19">
      <c r="A91">
        <v>202612</v>
      </c>
      <c r="D91" s="103">
        <f>+Consolidado_projection!J45</f>
        <v>3.6705324900000003E-2</v>
      </c>
      <c r="E91" s="103">
        <f>+'Consolidado_projection (2)'!H45</f>
        <v>4.41545375E-2</v>
      </c>
      <c r="F91" s="187">
        <v>5.4380999999999999E-2</v>
      </c>
      <c r="G91" s="41">
        <f t="shared" si="16"/>
        <v>7.56582593889637E-2</v>
      </c>
      <c r="H91" s="176">
        <f t="shared" si="9"/>
        <v>1.97</v>
      </c>
      <c r="I91" s="179">
        <f t="shared" si="10"/>
        <v>2.6</v>
      </c>
      <c r="J91" s="176">
        <f t="shared" ref="J91:M91" si="28">T39</f>
        <v>6.4</v>
      </c>
      <c r="K91" s="176">
        <f t="shared" si="28"/>
        <v>0</v>
      </c>
      <c r="L91" s="179">
        <f t="shared" si="18"/>
        <v>2.2999999999999998</v>
      </c>
      <c r="M91" s="176">
        <f t="shared" si="28"/>
        <v>1.3109999999999999</v>
      </c>
      <c r="O91" s="177"/>
    </row>
    <row r="92" spans="1:19">
      <c r="I92" s="180" t="s">
        <v>294</v>
      </c>
      <c r="L92" s="2" t="s">
        <v>295</v>
      </c>
    </row>
    <row r="98" spans="4:6">
      <c r="D98" s="184"/>
      <c r="E98" s="184"/>
      <c r="F98" s="184"/>
    </row>
    <row r="99" spans="4:6">
      <c r="D99" s="184"/>
      <c r="E99" s="184"/>
      <c r="F99" s="184"/>
    </row>
    <row r="100" spans="4:6">
      <c r="D100" s="185"/>
      <c r="E100" s="185"/>
      <c r="F100" s="185"/>
    </row>
    <row r="101" spans="4:6">
      <c r="D101" s="185"/>
      <c r="E101" s="185"/>
      <c r="F101" s="185"/>
    </row>
    <row r="102" spans="4:6">
      <c r="D102" s="185"/>
      <c r="E102" s="185"/>
      <c r="F102" s="185"/>
    </row>
    <row r="103" spans="4:6">
      <c r="D103" s="185"/>
      <c r="E103" s="185"/>
      <c r="F103" s="185"/>
    </row>
    <row r="104" spans="4:6">
      <c r="D104" s="185"/>
      <c r="E104" s="185"/>
      <c r="F104" s="185"/>
    </row>
    <row r="105" spans="4:6">
      <c r="D105" s="185"/>
      <c r="E105" s="185"/>
      <c r="F105" s="185"/>
    </row>
    <row r="106" spans="4:6">
      <c r="D106" s="185"/>
      <c r="E106" s="185"/>
      <c r="F106" s="185"/>
    </row>
    <row r="107" spans="4:6">
      <c r="D107" s="185"/>
      <c r="E107" s="185"/>
      <c r="F107" s="185"/>
    </row>
    <row r="108" spans="4:6">
      <c r="D108" s="185"/>
      <c r="E108" s="185"/>
      <c r="F108" s="185"/>
    </row>
    <row r="109" spans="4:6">
      <c r="D109" s="185"/>
      <c r="E109" s="185"/>
      <c r="F109" s="185"/>
    </row>
    <row r="110" spans="4:6">
      <c r="D110" s="185"/>
      <c r="E110" s="185"/>
      <c r="F110" s="185"/>
    </row>
    <row r="111" spans="4:6">
      <c r="D111" s="185"/>
      <c r="E111" s="185"/>
      <c r="F111" s="185"/>
    </row>
    <row r="112" spans="4:6">
      <c r="D112" s="185"/>
      <c r="E112" s="185"/>
      <c r="F112" s="185"/>
    </row>
    <row r="113" spans="4:6">
      <c r="D113" s="185"/>
      <c r="E113" s="185"/>
      <c r="F113" s="185"/>
    </row>
    <row r="114" spans="4:6">
      <c r="D114" s="185"/>
      <c r="E114" s="185"/>
      <c r="F114" s="185"/>
    </row>
    <row r="115" spans="4:6">
      <c r="D115" s="185"/>
      <c r="E115" s="185"/>
      <c r="F115" s="185"/>
    </row>
    <row r="116" spans="4:6">
      <c r="D116" s="185"/>
      <c r="E116" s="185"/>
      <c r="F116" s="185"/>
    </row>
  </sheetData>
  <autoFilter ref="A1:M62" xr:uid="{00000000-0009-0000-0000-000003000000}"/>
  <mergeCells count="6">
    <mergeCell ref="AG33:AK33"/>
    <mergeCell ref="Y14:AC14"/>
    <mergeCell ref="Y17:AC17"/>
    <mergeCell ref="Y30:AC30"/>
    <mergeCell ref="AG14:AK14"/>
    <mergeCell ref="AG20:AK20"/>
  </mergeCells>
  <phoneticPr fontId="26" type="noConversion"/>
  <hyperlinks>
    <hyperlink ref="AA12" r:id="rId1" display="https://longforecast.com/euribor-forecast-2017-2018-2019" xr:uid="{00000000-0004-0000-0300-000000000000}"/>
    <hyperlink ref="AJ12" r:id="rId2" display="https://longforecast.com/euribor-forecast-2017-2018-2019" xr:uid="{097E4C36-DCA3-4FAB-B9DC-735246CE0FB8}"/>
  </hyperlinks>
  <pageMargins left="0.7" right="0.7" top="0.75" bottom="0.75" header="0.3" footer="0.3"/>
  <pageSetup paperSize="9" orientation="portrait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N80"/>
  <sheetViews>
    <sheetView showGridLines="0" zoomScale="50" zoomScaleNormal="80" workbookViewId="0">
      <selection activeCell="AM14" sqref="AM14"/>
    </sheetView>
  </sheetViews>
  <sheetFormatPr baseColWidth="10" defaultColWidth="9.1640625" defaultRowHeight="15"/>
  <cols>
    <col min="2" max="2" width="11.5" customWidth="1"/>
    <col min="4" max="4" width="10.6640625" bestFit="1" customWidth="1"/>
    <col min="6" max="6" width="13.1640625" customWidth="1"/>
    <col min="7" max="8" width="9.5" bestFit="1" customWidth="1"/>
    <col min="9" max="9" width="1.83203125" customWidth="1"/>
    <col min="10" max="10" width="8.83203125" customWidth="1"/>
    <col min="11" max="11" width="1.83203125" customWidth="1"/>
    <col min="12" max="12" width="8.83203125" customWidth="1"/>
    <col min="13" max="13" width="1.83203125" customWidth="1"/>
    <col min="16" max="16" width="27.1640625" bestFit="1" customWidth="1"/>
    <col min="27" max="27" width="9.1640625" style="145"/>
    <col min="28" max="28" width="1.33203125" style="145" customWidth="1"/>
    <col min="29" max="29" width="9.1640625" style="145"/>
    <col min="30" max="30" width="3.33203125" customWidth="1"/>
    <col min="32" max="32" width="1.5" customWidth="1"/>
    <col min="34" max="34" width="1.33203125" customWidth="1"/>
    <col min="36" max="36" width="1.83203125" customWidth="1"/>
    <col min="38" max="38" width="1.6640625" customWidth="1"/>
  </cols>
  <sheetData>
    <row r="1" spans="2:40" ht="14.5" customHeight="1"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44"/>
      <c r="AB1" s="144"/>
      <c r="AC1" s="144"/>
      <c r="AD1" s="106"/>
      <c r="AE1" s="106"/>
      <c r="AF1" s="106"/>
    </row>
    <row r="2" spans="2:40" ht="15.75" customHeight="1">
      <c r="B2" s="6"/>
      <c r="C2" s="159" t="s">
        <v>29</v>
      </c>
      <c r="D2" s="159"/>
      <c r="E2" s="159"/>
      <c r="F2" s="159"/>
      <c r="G2" s="159"/>
      <c r="H2" s="159"/>
      <c r="I2" s="7"/>
      <c r="P2" s="162" t="s">
        <v>37</v>
      </c>
      <c r="Q2" s="162"/>
      <c r="R2" s="162"/>
      <c r="S2" s="162"/>
      <c r="T2" s="162"/>
      <c r="U2" s="162"/>
      <c r="V2" s="162"/>
      <c r="W2" s="106"/>
      <c r="X2" s="106"/>
      <c r="Y2" s="106"/>
      <c r="Z2" s="106"/>
      <c r="AA2" s="144"/>
      <c r="AB2" s="144"/>
      <c r="AC2" s="144"/>
      <c r="AD2" s="106"/>
      <c r="AE2" s="106"/>
      <c r="AF2" s="106"/>
    </row>
    <row r="3" spans="2:40" ht="44.25" customHeight="1" thickBot="1">
      <c r="B3" s="6"/>
      <c r="C3" s="43" t="str">
        <f>+P20</f>
        <v>Intercept</v>
      </c>
      <c r="D3" s="43" t="str">
        <f>+P21</f>
        <v>Unemployment_Rate</v>
      </c>
      <c r="E3" s="43" t="str">
        <f>+P22</f>
        <v>GDP_9</v>
      </c>
      <c r="F3" s="43" t="str">
        <f>+P23</f>
        <v>Inflation_11</v>
      </c>
      <c r="G3" s="43" t="str">
        <f>+P24</f>
        <v>LT_Interest_Rate_6</v>
      </c>
      <c r="H3" s="43" t="str">
        <f>+P25</f>
        <v>LT_Interest_Rate_8</v>
      </c>
      <c r="I3" s="7"/>
      <c r="P3" s="163" t="s">
        <v>38</v>
      </c>
      <c r="Q3" s="163"/>
      <c r="R3" s="163"/>
      <c r="S3" s="163"/>
      <c r="T3" s="163"/>
      <c r="U3" s="163"/>
      <c r="V3" s="163"/>
      <c r="W3" s="106"/>
      <c r="X3" s="106"/>
      <c r="Y3" s="106"/>
      <c r="Z3" s="106"/>
      <c r="AA3" s="144"/>
      <c r="AB3" s="144"/>
      <c r="AC3" s="144"/>
      <c r="AD3" s="106"/>
      <c r="AE3" s="106"/>
      <c r="AF3" s="106"/>
    </row>
    <row r="4" spans="2:40" ht="15.75" customHeight="1" thickTop="1">
      <c r="B4" s="6"/>
      <c r="C4" s="137">
        <f>+Consolidado_projection!R20</f>
        <v>4.81E-3</v>
      </c>
      <c r="D4" s="137">
        <f>+R21</f>
        <v>2.8999999999999998E-3</v>
      </c>
      <c r="E4" s="137">
        <f>+R22</f>
        <v>-2.7269000000000002E-4</v>
      </c>
      <c r="F4" s="137">
        <f>+R23</f>
        <v>2.0400000000000001E-3</v>
      </c>
      <c r="G4" s="137">
        <f>+R24</f>
        <v>4.3E-3</v>
      </c>
      <c r="H4" s="137">
        <f>+R25</f>
        <v>4.2599999999999999E-3</v>
      </c>
      <c r="I4" s="6"/>
      <c r="P4" s="163" t="s">
        <v>39</v>
      </c>
      <c r="Q4" s="163"/>
      <c r="R4" s="163"/>
      <c r="S4" s="163"/>
      <c r="T4" s="163"/>
      <c r="U4" s="163"/>
      <c r="V4" s="163"/>
      <c r="W4" s="106"/>
      <c r="X4" s="106"/>
      <c r="Y4" s="106"/>
      <c r="Z4" s="106"/>
      <c r="AA4" s="144"/>
      <c r="AB4" s="144"/>
      <c r="AC4" s="144"/>
      <c r="AD4" s="106"/>
      <c r="AE4" s="106"/>
      <c r="AF4" s="106"/>
    </row>
    <row r="5" spans="2:40" ht="24.75" customHeight="1" thickBot="1">
      <c r="B5" s="9" t="s">
        <v>36</v>
      </c>
      <c r="C5" s="10"/>
      <c r="D5" s="10" t="str">
        <f>+IF(D4&gt;0,"↑","↓")</f>
        <v>↑</v>
      </c>
      <c r="E5" s="10" t="str">
        <f>+IF(E4&gt;0,"↑","↓")</f>
        <v>↓</v>
      </c>
      <c r="F5" s="10" t="str">
        <f>+IF(F4&gt;0,"↑","↓")</f>
        <v>↑</v>
      </c>
      <c r="G5" s="10" t="str">
        <f>+IF(G4&gt;0,"↑","↓")</f>
        <v>↑</v>
      </c>
      <c r="H5" s="10" t="str">
        <f>+IF(H4&gt;0,"↑","↓")</f>
        <v>↑</v>
      </c>
      <c r="I5" s="7"/>
      <c r="P5" s="163" t="s">
        <v>281</v>
      </c>
      <c r="Q5" s="163"/>
      <c r="R5" s="163"/>
      <c r="S5" s="163"/>
      <c r="T5" s="163"/>
      <c r="U5" s="163"/>
      <c r="V5" s="163"/>
    </row>
    <row r="6" spans="2:40" ht="16" thickBot="1">
      <c r="B6" s="11"/>
      <c r="C6" s="8"/>
      <c r="D6" s="8"/>
      <c r="E6" s="8"/>
      <c r="F6" s="8"/>
      <c r="G6" s="8"/>
      <c r="H6" s="8"/>
      <c r="I6" s="7"/>
      <c r="P6" s="110" t="s">
        <v>40</v>
      </c>
      <c r="Q6" s="111">
        <v>49</v>
      </c>
    </row>
    <row r="7" spans="2:40" ht="14.5" customHeight="1" thickBot="1">
      <c r="B7" s="12" t="s">
        <v>75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P7" s="112" t="s">
        <v>41</v>
      </c>
      <c r="Q7" s="113">
        <v>49</v>
      </c>
      <c r="Z7" t="s">
        <v>293</v>
      </c>
    </row>
    <row r="8" spans="2:40" ht="16" thickBot="1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P8" s="160" t="s">
        <v>42</v>
      </c>
      <c r="Q8" s="161"/>
      <c r="R8" s="161"/>
      <c r="S8" s="161"/>
      <c r="T8" s="161"/>
      <c r="U8" s="161"/>
      <c r="Z8" s="72" t="s">
        <v>286</v>
      </c>
    </row>
    <row r="9" spans="2:40">
      <c r="B9" s="15"/>
      <c r="C9" s="7"/>
      <c r="D9" s="7"/>
      <c r="E9" s="7"/>
      <c r="F9" s="7"/>
      <c r="G9" s="7"/>
      <c r="H9" s="7"/>
      <c r="I9" s="7"/>
      <c r="J9" s="164" t="s">
        <v>283</v>
      </c>
      <c r="K9" s="164"/>
      <c r="L9" s="164"/>
      <c r="M9" s="13"/>
      <c r="P9" s="166" t="s">
        <v>43</v>
      </c>
      <c r="Q9" s="168" t="s">
        <v>44</v>
      </c>
      <c r="R9" s="104" t="s">
        <v>45</v>
      </c>
      <c r="S9" s="104" t="s">
        <v>47</v>
      </c>
      <c r="T9" s="168" t="s">
        <v>49</v>
      </c>
      <c r="U9" s="170" t="s">
        <v>50</v>
      </c>
    </row>
    <row r="10" spans="2:40" ht="58" customHeight="1" thickBot="1">
      <c r="B10" s="16" t="s">
        <v>30</v>
      </c>
      <c r="C10" s="44" t="s">
        <v>31</v>
      </c>
      <c r="D10" s="45" t="str">
        <f>+D3</f>
        <v>Unemployment_Rate</v>
      </c>
      <c r="E10" s="45" t="str">
        <f>+E3</f>
        <v>GDP_9</v>
      </c>
      <c r="F10" s="45" t="str">
        <f>+F3</f>
        <v>Inflation_11</v>
      </c>
      <c r="G10" s="45" t="str">
        <f>+G3</f>
        <v>LT_Interest_Rate_6</v>
      </c>
      <c r="H10" s="45" t="str">
        <f>+H3</f>
        <v>LT_Interest_Rate_8</v>
      </c>
      <c r="I10" s="17"/>
      <c r="J10" s="18" t="s">
        <v>131</v>
      </c>
      <c r="K10" s="19"/>
      <c r="L10" s="18" t="s">
        <v>132</v>
      </c>
      <c r="M10" s="19"/>
      <c r="P10" s="167"/>
      <c r="Q10" s="169"/>
      <c r="R10" s="105" t="s">
        <v>46</v>
      </c>
      <c r="S10" s="105" t="s">
        <v>48</v>
      </c>
      <c r="T10" s="169"/>
      <c r="U10" s="171"/>
      <c r="Z10" s="16" t="s">
        <v>30</v>
      </c>
      <c r="AA10" s="18" t="s">
        <v>131</v>
      </c>
      <c r="AB10" s="19"/>
      <c r="AC10" s="18" t="s">
        <v>132</v>
      </c>
      <c r="AE10" s="18" t="s">
        <v>290</v>
      </c>
      <c r="AG10" s="18" t="s">
        <v>291</v>
      </c>
      <c r="AI10" s="18" t="s">
        <v>292</v>
      </c>
      <c r="AK10" s="18" t="s">
        <v>288</v>
      </c>
      <c r="AM10" s="18" t="s">
        <v>289</v>
      </c>
    </row>
    <row r="11" spans="2:40" ht="16" thickBot="1">
      <c r="B11" s="27">
        <f>+Portugal_indicadores!A63</f>
        <v>202408</v>
      </c>
      <c r="C11" s="13"/>
      <c r="D11" s="28">
        <f>+Portugal_indicadores!J63</f>
        <v>6.1</v>
      </c>
      <c r="E11" s="29">
        <f>+Portugal_indicadores!H54</f>
        <v>0.6</v>
      </c>
      <c r="F11" s="29">
        <f>+Portugal_indicadores!I52</f>
        <v>4.8</v>
      </c>
      <c r="G11" s="29">
        <f>+Portugal_indicadores!K57</f>
        <v>3.06</v>
      </c>
      <c r="H11" s="29">
        <f>+Portugal_indicadores!K55</f>
        <v>2.85</v>
      </c>
      <c r="I11" s="20"/>
      <c r="J11" s="30">
        <f>+$C$4+D11*$D$4+E11*$E$4+F11*$F$4+$H$4*H11+$G$4*G11</f>
        <v>5.7427385999999997E-2</v>
      </c>
      <c r="K11" s="124"/>
      <c r="L11" s="30">
        <f>+Portugal_indicadores!G63</f>
        <v>7.56582593889637E-2</v>
      </c>
      <c r="M11" s="14"/>
      <c r="N11" s="34">
        <f>+L11-J11</f>
        <v>1.8230873388963703E-2</v>
      </c>
      <c r="P11" s="114" t="s">
        <v>51</v>
      </c>
      <c r="Q11" s="109">
        <v>5</v>
      </c>
      <c r="R11" s="109">
        <v>1.677E-2</v>
      </c>
      <c r="S11" s="109">
        <v>3.3500000000000001E-3</v>
      </c>
      <c r="T11" s="109">
        <v>572.49</v>
      </c>
      <c r="U11" s="115" t="s">
        <v>76</v>
      </c>
      <c r="Z11" s="27">
        <f>+B11</f>
        <v>202408</v>
      </c>
      <c r="AA11" s="148">
        <f>J11</f>
        <v>5.7427385999999997E-2</v>
      </c>
      <c r="AB11" s="124"/>
      <c r="AC11" s="148">
        <f>L11</f>
        <v>7.56582593889637E-2</v>
      </c>
      <c r="AE11" s="146">
        <f>AC11-AA11</f>
        <v>1.8230873388963703E-2</v>
      </c>
      <c r="AG11" s="147">
        <f>POWER(AE11,2)</f>
        <v>3.3236474452442489E-4</v>
      </c>
      <c r="AI11" s="147">
        <f>SUM(AG11:AG22)</f>
        <v>5.7018338937401677E-3</v>
      </c>
      <c r="AK11" s="151">
        <f>(1/COUNT(Z11:Z22))*AI11</f>
        <v>4.7515282447834731E-4</v>
      </c>
      <c r="AM11" s="151">
        <f>SQRT(AK11)</f>
        <v>2.1798000469729954E-2</v>
      </c>
      <c r="AN11" s="150"/>
    </row>
    <row r="12" spans="2:40" ht="16" thickBot="1">
      <c r="B12" s="27">
        <f>+Portugal_indicadores!A64</f>
        <v>202409</v>
      </c>
      <c r="C12" s="13"/>
      <c r="D12" s="28">
        <f>+Portugal_indicadores!J64</f>
        <v>6.1</v>
      </c>
      <c r="E12" s="29">
        <f>+Portugal_indicadores!H55</f>
        <v>0.6</v>
      </c>
      <c r="F12" s="29">
        <f>+Portugal_indicadores!I53</f>
        <v>3.2</v>
      </c>
      <c r="G12" s="29">
        <f>+Portugal_indicadores!K58</f>
        <v>3.02</v>
      </c>
      <c r="H12" s="29">
        <f>+Portugal_indicadores!K56</f>
        <v>2.97</v>
      </c>
      <c r="I12" s="20"/>
      <c r="J12" s="30">
        <f t="shared" ref="J12:J21" si="0">+$C$4+D12*$D$4+E12*$E$4+F12*$F$4+$H$4*H12+$G$4*G12</f>
        <v>5.4502585999999999E-2</v>
      </c>
      <c r="K12" s="124"/>
      <c r="L12" s="30">
        <f>+Portugal_indicadores!G64</f>
        <v>7.56582593889637E-2</v>
      </c>
      <c r="M12" s="14"/>
      <c r="N12" s="34">
        <f t="shared" ref="N12:N22" si="1">+L12-J12</f>
        <v>2.1155673388963701E-2</v>
      </c>
      <c r="P12" s="114" t="s">
        <v>52</v>
      </c>
      <c r="Q12" s="109">
        <v>43</v>
      </c>
      <c r="R12" s="109">
        <v>2.5198000000000001E-4</v>
      </c>
      <c r="S12" s="109">
        <v>5.8599999999999998E-6</v>
      </c>
      <c r="T12" s="109"/>
      <c r="U12" s="115"/>
      <c r="Z12" s="27">
        <f t="shared" ref="Z12:Z22" si="2">+B12</f>
        <v>202409</v>
      </c>
      <c r="AA12" s="148">
        <f t="shared" ref="AA12:AA22" si="3">J12</f>
        <v>5.4502585999999999E-2</v>
      </c>
      <c r="AB12" s="124"/>
      <c r="AC12" s="148">
        <f t="shared" ref="AC12:AC22" si="4">L12</f>
        <v>7.56582593889637E-2</v>
      </c>
      <c r="AE12" s="146">
        <f t="shared" ref="AE12:AE22" si="5">AC12-AA12</f>
        <v>2.1155673388963701E-2</v>
      </c>
      <c r="AG12" s="147">
        <f t="shared" ref="AG12:AG22" si="6">POWER(AE12,2)</f>
        <v>4.4756251654050691E-4</v>
      </c>
      <c r="AM12" s="150"/>
    </row>
    <row r="13" spans="2:40" ht="16" thickBot="1">
      <c r="B13" s="27">
        <f>+Portugal_indicadores!A65</f>
        <v>202410</v>
      </c>
      <c r="C13" s="13"/>
      <c r="D13" s="28">
        <f>+Portugal_indicadores!J65</f>
        <v>6.7</v>
      </c>
      <c r="E13" s="29">
        <f>+Portugal_indicadores!H56</f>
        <v>0.6</v>
      </c>
      <c r="F13" s="29">
        <f>+Portugal_indicadores!I54</f>
        <v>2.2000000000000002</v>
      </c>
      <c r="G13" s="29">
        <f>+Portugal_indicadores!K59</f>
        <v>3.13</v>
      </c>
      <c r="H13" s="29">
        <f>+Portugal_indicadores!K57</f>
        <v>3.06</v>
      </c>
      <c r="I13" s="20"/>
      <c r="J13" s="30">
        <f t="shared" si="0"/>
        <v>5.5058985999999997E-2</v>
      </c>
      <c r="K13" s="124"/>
      <c r="L13" s="30">
        <f>+Portugal_indicadores!G65</f>
        <v>7.56582593889637E-2</v>
      </c>
      <c r="M13" s="14"/>
      <c r="N13" s="34">
        <f t="shared" si="1"/>
        <v>2.0599273388963703E-2</v>
      </c>
      <c r="P13" s="112" t="s">
        <v>53</v>
      </c>
      <c r="Q13" s="116">
        <v>48</v>
      </c>
      <c r="R13" s="116">
        <v>1.703E-2</v>
      </c>
      <c r="S13" s="116"/>
      <c r="T13" s="116"/>
      <c r="U13" s="113"/>
      <c r="Z13" s="27">
        <f t="shared" si="2"/>
        <v>202410</v>
      </c>
      <c r="AA13" s="148">
        <f t="shared" si="3"/>
        <v>5.5058985999999997E-2</v>
      </c>
      <c r="AB13" s="124"/>
      <c r="AC13" s="148">
        <f t="shared" si="4"/>
        <v>7.56582593889637E-2</v>
      </c>
      <c r="AE13" s="146">
        <f t="shared" si="5"/>
        <v>2.0599273388963703E-2</v>
      </c>
      <c r="AG13" s="147">
        <f t="shared" si="6"/>
        <v>4.2433006415326814E-4</v>
      </c>
    </row>
    <row r="14" spans="2:40" ht="16" thickBot="1">
      <c r="B14" s="27">
        <f>+Portugal_indicadores!A66</f>
        <v>202411</v>
      </c>
      <c r="C14" s="13"/>
      <c r="D14" s="28">
        <f>+Portugal_indicadores!J66</f>
        <v>6.7</v>
      </c>
      <c r="E14" s="29">
        <f>+Portugal_indicadores!H57</f>
        <v>0.6</v>
      </c>
      <c r="F14" s="29">
        <f>+Portugal_indicadores!I55</f>
        <v>1.9</v>
      </c>
      <c r="G14" s="29">
        <f>+Portugal_indicadores!K60</f>
        <v>3.16</v>
      </c>
      <c r="H14" s="29">
        <f>+Portugal_indicadores!K58</f>
        <v>3.02</v>
      </c>
      <c r="I14" s="20"/>
      <c r="J14" s="30">
        <f t="shared" si="0"/>
        <v>5.4405586000000006E-2</v>
      </c>
      <c r="K14" s="124"/>
      <c r="L14" s="30">
        <f>+Portugal_indicadores!G66</f>
        <v>7.56582593889637E-2</v>
      </c>
      <c r="M14" s="14"/>
      <c r="N14" s="34">
        <f t="shared" si="1"/>
        <v>2.1252673388963694E-2</v>
      </c>
      <c r="P14" s="110" t="s">
        <v>54</v>
      </c>
      <c r="Q14" s="117">
        <v>2.4199999999999998E-3</v>
      </c>
      <c r="R14" s="118" t="s">
        <v>55</v>
      </c>
      <c r="S14" s="111">
        <v>0.98519999999999996</v>
      </c>
      <c r="Z14" s="27">
        <f t="shared" si="2"/>
        <v>202411</v>
      </c>
      <c r="AA14" s="148">
        <f t="shared" si="3"/>
        <v>5.4405586000000006E-2</v>
      </c>
      <c r="AB14" s="124"/>
      <c r="AC14" s="148">
        <f t="shared" si="4"/>
        <v>7.56582593889637E-2</v>
      </c>
      <c r="AE14" s="146">
        <f t="shared" si="5"/>
        <v>2.1252673388963694E-2</v>
      </c>
      <c r="AG14" s="147">
        <f t="shared" si="6"/>
        <v>4.5167612617796557E-4</v>
      </c>
      <c r="AM14" s="149">
        <f>AM11/AC14</f>
        <v>0.28811131323633965</v>
      </c>
    </row>
    <row r="15" spans="2:40" ht="16" thickBot="1">
      <c r="B15" s="27">
        <f>+Portugal_indicadores!A67</f>
        <v>202412</v>
      </c>
      <c r="C15" s="13"/>
      <c r="D15" s="28">
        <f>+Portugal_indicadores!J67</f>
        <v>6.7</v>
      </c>
      <c r="E15" s="29">
        <f>+Portugal_indicadores!H58</f>
        <v>0.6</v>
      </c>
      <c r="F15" s="29">
        <f>+Portugal_indicadores!I56</f>
        <v>2.5</v>
      </c>
      <c r="G15" s="29">
        <f>+Portugal_indicadores!K61</f>
        <v>3.19</v>
      </c>
      <c r="H15" s="29">
        <f>+Portugal_indicadores!K59</f>
        <v>3.13</v>
      </c>
      <c r="I15" s="13"/>
      <c r="J15" s="30">
        <f t="shared" si="0"/>
        <v>5.6227185999999998E-2</v>
      </c>
      <c r="K15" s="125"/>
      <c r="L15" s="30">
        <f>+Portugal_indicadores!G67</f>
        <v>7.56582593889637E-2</v>
      </c>
      <c r="M15" s="13"/>
      <c r="N15" s="34">
        <f t="shared" si="1"/>
        <v>1.9431073388963702E-2</v>
      </c>
      <c r="P15" s="114" t="s">
        <v>56</v>
      </c>
      <c r="Q15" s="109">
        <v>4.3360000000000003E-2</v>
      </c>
      <c r="R15" s="108" t="s">
        <v>57</v>
      </c>
      <c r="S15" s="115">
        <v>0.98350000000000004</v>
      </c>
      <c r="Z15" s="27">
        <f t="shared" si="2"/>
        <v>202412</v>
      </c>
      <c r="AA15" s="148">
        <f t="shared" si="3"/>
        <v>5.6227185999999998E-2</v>
      </c>
      <c r="AB15" s="125"/>
      <c r="AC15" s="148">
        <f t="shared" si="4"/>
        <v>7.56582593889637E-2</v>
      </c>
      <c r="AE15" s="146">
        <f t="shared" si="5"/>
        <v>1.9431073388963702E-2</v>
      </c>
      <c r="AG15" s="147">
        <f t="shared" si="6"/>
        <v>3.7756661304729329E-4</v>
      </c>
    </row>
    <row r="16" spans="2:40" ht="14.5" customHeight="1" thickBot="1">
      <c r="B16" s="27">
        <f>+Portugal_indicadores!A68</f>
        <v>202501</v>
      </c>
      <c r="C16" s="13"/>
      <c r="D16" s="28">
        <f>+Portugal_indicadores!J68</f>
        <v>6.6</v>
      </c>
      <c r="E16" s="29">
        <f>+Portugal_indicadores!H59</f>
        <v>0.4</v>
      </c>
      <c r="F16" s="29">
        <f>+Portugal_indicadores!I57</f>
        <v>2.2999999999999998</v>
      </c>
      <c r="G16" s="29">
        <f>+Portugal_indicadores!K62</f>
        <v>3.1</v>
      </c>
      <c r="H16" s="29">
        <f>+Portugal_indicadores!K60</f>
        <v>3.16</v>
      </c>
      <c r="I16" s="13"/>
      <c r="J16" s="30">
        <f t="shared" si="0"/>
        <v>5.5324524000000007E-2</v>
      </c>
      <c r="K16" s="125"/>
      <c r="L16" s="30">
        <f>+Portugal_indicadores!G68</f>
        <v>7.56582593889637E-2</v>
      </c>
      <c r="M16" s="13"/>
      <c r="N16" s="34">
        <f t="shared" si="1"/>
        <v>2.0333735388963693E-2</v>
      </c>
      <c r="P16" s="112" t="s">
        <v>58</v>
      </c>
      <c r="Q16" s="116">
        <v>5.5829800000000001</v>
      </c>
      <c r="R16" s="119"/>
      <c r="S16" s="113"/>
      <c r="W16" s="107"/>
      <c r="X16" s="107"/>
      <c r="Y16" s="107"/>
      <c r="Z16" s="27">
        <f t="shared" si="2"/>
        <v>202501</v>
      </c>
      <c r="AA16" s="148">
        <f t="shared" si="3"/>
        <v>5.5324524000000007E-2</v>
      </c>
      <c r="AB16" s="125"/>
      <c r="AC16" s="148">
        <f t="shared" si="4"/>
        <v>7.56582593889637E-2</v>
      </c>
      <c r="AD16" s="107"/>
      <c r="AE16" s="146">
        <f t="shared" si="5"/>
        <v>2.0333735388963693E-2</v>
      </c>
      <c r="AF16" s="107"/>
      <c r="AG16" s="147">
        <f t="shared" si="6"/>
        <v>4.1346079486839445E-4</v>
      </c>
    </row>
    <row r="17" spans="2:33" ht="17" customHeight="1" thickBot="1">
      <c r="B17" s="27">
        <f>+Portugal_indicadores!A69</f>
        <v>202502</v>
      </c>
      <c r="C17" s="13"/>
      <c r="D17" s="28">
        <f>+Portugal_indicadores!J69</f>
        <v>6.6</v>
      </c>
      <c r="E17" s="29">
        <f>+Portugal_indicadores!H60</f>
        <v>0.4</v>
      </c>
      <c r="F17" s="29">
        <f>+Portugal_indicadores!I58</f>
        <v>2.6</v>
      </c>
      <c r="G17" s="29">
        <f>+Portugal_indicadores!K63</f>
        <v>2.88</v>
      </c>
      <c r="H17" s="29">
        <f>+Portugal_indicadores!K61</f>
        <v>3.19</v>
      </c>
      <c r="I17" s="13"/>
      <c r="J17" s="30">
        <f t="shared" si="0"/>
        <v>5.5118323999999996E-2</v>
      </c>
      <c r="K17" s="125"/>
      <c r="L17" s="30">
        <f>+Portugal_indicadores!G69</f>
        <v>7.56582593889637E-2</v>
      </c>
      <c r="M17" s="13"/>
      <c r="N17" s="34">
        <f t="shared" si="1"/>
        <v>2.0539935388963704E-2</v>
      </c>
      <c r="P17" s="160" t="s">
        <v>59</v>
      </c>
      <c r="Q17" s="161"/>
      <c r="R17" s="161"/>
      <c r="S17" s="161"/>
      <c r="T17" s="161"/>
      <c r="U17" s="161"/>
      <c r="W17" s="107"/>
      <c r="X17" s="107"/>
      <c r="Y17" s="143"/>
      <c r="Z17" s="27">
        <f t="shared" si="2"/>
        <v>202502</v>
      </c>
      <c r="AA17" s="148">
        <f t="shared" si="3"/>
        <v>5.5118323999999996E-2</v>
      </c>
      <c r="AB17" s="125"/>
      <c r="AC17" s="148">
        <f t="shared" si="4"/>
        <v>7.56582593889637E-2</v>
      </c>
      <c r="AD17" s="107"/>
      <c r="AE17" s="146">
        <f t="shared" si="5"/>
        <v>2.0539935388963704E-2</v>
      </c>
      <c r="AF17" s="107"/>
      <c r="AG17" s="147">
        <f t="shared" si="6"/>
        <v>4.2188894578280351E-4</v>
      </c>
    </row>
    <row r="18" spans="2:33" ht="14" customHeight="1">
      <c r="B18" s="27">
        <f>+Portugal_indicadores!A70</f>
        <v>202503</v>
      </c>
      <c r="D18" s="28">
        <f>+Portugal_indicadores!J70</f>
        <v>6.6</v>
      </c>
      <c r="E18" s="29">
        <f>+Portugal_indicadores!H61</f>
        <v>0.4</v>
      </c>
      <c r="F18" s="29">
        <f>+Portugal_indicadores!I59</f>
        <v>2.2999999999999998</v>
      </c>
      <c r="G18" s="29">
        <f>+Portugal_indicadores!K64</f>
        <v>2.78</v>
      </c>
      <c r="H18" s="29">
        <f>+Portugal_indicadores!K62</f>
        <v>3.1</v>
      </c>
      <c r="J18" s="30">
        <f t="shared" si="0"/>
        <v>5.3692924000000003E-2</v>
      </c>
      <c r="K18" s="34"/>
      <c r="L18" s="30">
        <f>+Portugal_indicadores!G70</f>
        <v>7.56582593889637E-2</v>
      </c>
      <c r="N18" s="34">
        <f t="shared" si="1"/>
        <v>2.1965335388963697E-2</v>
      </c>
      <c r="P18" s="166" t="s">
        <v>60</v>
      </c>
      <c r="Q18" s="168" t="s">
        <v>44</v>
      </c>
      <c r="R18" s="104" t="s">
        <v>61</v>
      </c>
      <c r="S18" s="104" t="s">
        <v>63</v>
      </c>
      <c r="T18" s="168" t="s">
        <v>64</v>
      </c>
      <c r="U18" s="170" t="s">
        <v>65</v>
      </c>
      <c r="W18" s="107"/>
      <c r="X18" s="107"/>
      <c r="Y18" s="143"/>
      <c r="Z18" s="27">
        <f t="shared" si="2"/>
        <v>202503</v>
      </c>
      <c r="AA18" s="148">
        <f t="shared" si="3"/>
        <v>5.3692924000000003E-2</v>
      </c>
      <c r="AB18" s="34"/>
      <c r="AC18" s="148">
        <f t="shared" si="4"/>
        <v>7.56582593889637E-2</v>
      </c>
      <c r="AD18" s="107"/>
      <c r="AE18" s="146">
        <f t="shared" si="5"/>
        <v>2.1965335388963697E-2</v>
      </c>
      <c r="AF18" s="107"/>
      <c r="AG18" s="147">
        <f t="shared" si="6"/>
        <v>4.8247595874966099E-4</v>
      </c>
    </row>
    <row r="19" spans="2:33" ht="15.5" customHeight="1" thickBot="1">
      <c r="B19" s="27">
        <f>+Portugal_indicadores!A71</f>
        <v>202504</v>
      </c>
      <c r="D19" s="28">
        <f>+Portugal_indicadores!J71</f>
        <v>5.9</v>
      </c>
      <c r="E19" s="29">
        <f>+Portugal_indicadores!H62</f>
        <v>0.4</v>
      </c>
      <c r="F19" s="29">
        <f>+Portugal_indicadores!I60</f>
        <v>3.8</v>
      </c>
      <c r="G19" s="29">
        <f>+Portugal_indicadores!K65</f>
        <v>2.73</v>
      </c>
      <c r="H19" s="29">
        <f>+Portugal_indicadores!K63</f>
        <v>2.88</v>
      </c>
      <c r="J19" s="30">
        <f t="shared" si="0"/>
        <v>5.3570724E-2</v>
      </c>
      <c r="K19" s="34"/>
      <c r="L19" s="30">
        <f>+Portugal_indicadores!G71</f>
        <v>7.56582593889637E-2</v>
      </c>
      <c r="N19" s="34">
        <f t="shared" si="1"/>
        <v>2.20875353889637E-2</v>
      </c>
      <c r="P19" s="167"/>
      <c r="Q19" s="169"/>
      <c r="R19" s="105" t="s">
        <v>62</v>
      </c>
      <c r="S19" s="105" t="s">
        <v>52</v>
      </c>
      <c r="T19" s="169"/>
      <c r="U19" s="171"/>
      <c r="W19" s="107"/>
      <c r="X19" s="107"/>
      <c r="Y19" s="143"/>
      <c r="Z19" s="27">
        <f t="shared" si="2"/>
        <v>202504</v>
      </c>
      <c r="AA19" s="148">
        <f t="shared" si="3"/>
        <v>5.3570724E-2</v>
      </c>
      <c r="AB19" s="34"/>
      <c r="AC19" s="148">
        <f t="shared" si="4"/>
        <v>7.56582593889637E-2</v>
      </c>
      <c r="AD19" s="107"/>
      <c r="AE19" s="146">
        <f t="shared" si="5"/>
        <v>2.20875353889637E-2</v>
      </c>
      <c r="AF19" s="107"/>
      <c r="AG19" s="147">
        <f t="shared" si="6"/>
        <v>4.8785921955872384E-4</v>
      </c>
    </row>
    <row r="20" spans="2:33" ht="11" customHeight="1" thickBot="1">
      <c r="B20" s="27">
        <f>+Portugal_indicadores!A72</f>
        <v>202505</v>
      </c>
      <c r="D20" s="28">
        <f>+Portugal_indicadores!J72</f>
        <v>5.9</v>
      </c>
      <c r="E20" s="29">
        <f>+Portugal_indicadores!H63</f>
        <v>0.4</v>
      </c>
      <c r="F20" s="29">
        <f>+Portugal_indicadores!I61</f>
        <v>3.1</v>
      </c>
      <c r="G20" s="29">
        <f>+Portugal_indicadores!K66</f>
        <v>2.79</v>
      </c>
      <c r="H20" s="29">
        <f>+Portugal_indicadores!K64</f>
        <v>2.78</v>
      </c>
      <c r="J20" s="30">
        <f t="shared" si="0"/>
        <v>5.1974724E-2</v>
      </c>
      <c r="K20" s="34"/>
      <c r="L20" s="30">
        <f>+Portugal_indicadores!G72</f>
        <v>7.56582593889637E-2</v>
      </c>
      <c r="N20" s="34">
        <f t="shared" si="1"/>
        <v>2.36835353889637E-2</v>
      </c>
      <c r="P20" s="114" t="s">
        <v>66</v>
      </c>
      <c r="Q20" s="109">
        <v>1</v>
      </c>
      <c r="R20" s="109">
        <v>4.81E-3</v>
      </c>
      <c r="S20" s="109">
        <v>4.2399999999999998E-3</v>
      </c>
      <c r="T20" s="109">
        <v>1.1299999999999999</v>
      </c>
      <c r="U20" s="115">
        <v>0.26279999999999998</v>
      </c>
      <c r="W20" s="57"/>
      <c r="X20" s="57"/>
      <c r="Y20" s="143"/>
      <c r="Z20" s="27">
        <f t="shared" si="2"/>
        <v>202505</v>
      </c>
      <c r="AA20" s="148">
        <f t="shared" si="3"/>
        <v>5.1974724E-2</v>
      </c>
      <c r="AB20" s="34"/>
      <c r="AC20" s="148">
        <f t="shared" si="4"/>
        <v>7.56582593889637E-2</v>
      </c>
      <c r="AD20" s="57"/>
      <c r="AE20" s="146">
        <f t="shared" si="5"/>
        <v>2.36835353889637E-2</v>
      </c>
      <c r="AF20" s="57"/>
      <c r="AG20" s="147">
        <f t="shared" si="6"/>
        <v>5.6090984852029597E-4</v>
      </c>
    </row>
    <row r="21" spans="2:33" ht="16" thickBot="1">
      <c r="B21" s="27">
        <f>+Portugal_indicadores!A73</f>
        <v>202506</v>
      </c>
      <c r="D21" s="28">
        <f>+Portugal_indicadores!J73</f>
        <v>5.9</v>
      </c>
      <c r="E21" s="29">
        <f>+Portugal_indicadores!H64</f>
        <v>0.4</v>
      </c>
      <c r="F21" s="29">
        <f>+Portugal_indicadores!I62</f>
        <v>2.7</v>
      </c>
      <c r="G21" s="29">
        <f>+Portugal_indicadores!K67</f>
        <v>2.68</v>
      </c>
      <c r="H21" s="29">
        <f>+Portugal_indicadores!K65</f>
        <v>2.73</v>
      </c>
      <c r="J21" s="30">
        <f t="shared" si="0"/>
        <v>5.0472724000000004E-2</v>
      </c>
      <c r="K21" s="34"/>
      <c r="L21" s="30">
        <f>+Portugal_indicadores!G73</f>
        <v>7.56582593889637E-2</v>
      </c>
      <c r="N21" s="34">
        <f t="shared" si="1"/>
        <v>2.5185535388963697E-2</v>
      </c>
      <c r="P21" s="114" t="s">
        <v>3</v>
      </c>
      <c r="Q21" s="109">
        <v>1</v>
      </c>
      <c r="R21" s="109">
        <v>2.8999999999999998E-3</v>
      </c>
      <c r="S21" s="109">
        <v>6.2162999999999997E-4</v>
      </c>
      <c r="T21" s="109">
        <v>4.67</v>
      </c>
      <c r="U21" s="115" t="s">
        <v>76</v>
      </c>
      <c r="W21" s="57"/>
      <c r="X21" s="57"/>
      <c r="Y21" s="143"/>
      <c r="Z21" s="27">
        <f t="shared" si="2"/>
        <v>202506</v>
      </c>
      <c r="AA21" s="148">
        <f t="shared" si="3"/>
        <v>5.0472724000000004E-2</v>
      </c>
      <c r="AB21" s="34"/>
      <c r="AC21" s="148">
        <f t="shared" si="4"/>
        <v>7.56582593889637E-2</v>
      </c>
      <c r="AD21" s="57"/>
      <c r="AE21" s="146">
        <f t="shared" si="5"/>
        <v>2.5185535388963697E-2</v>
      </c>
      <c r="AF21" s="57"/>
      <c r="AG21" s="147">
        <f t="shared" si="6"/>
        <v>6.343111928287427E-4</v>
      </c>
    </row>
    <row r="22" spans="2:33" ht="16" thickBot="1">
      <c r="B22" s="27">
        <f>+Portugal_indicadores!A74</f>
        <v>202507</v>
      </c>
      <c r="D22" s="28">
        <f>+Portugal_indicadores!J74</f>
        <v>5.9</v>
      </c>
      <c r="E22" s="29">
        <f>+Portugal_indicadores!H65</f>
        <v>1.4</v>
      </c>
      <c r="F22" s="29">
        <f>+Portugal_indicadores!I63</f>
        <v>1.8</v>
      </c>
      <c r="G22" s="29">
        <f>+Portugal_indicadores!K68</f>
        <v>2.96</v>
      </c>
      <c r="H22" s="29">
        <f>+Portugal_indicadores!K66</f>
        <v>2.79</v>
      </c>
      <c r="J22" s="30">
        <f>+$C$4+D22*$D$4+E22*$E$4+F22*$F$4+$H$4*H22+$G$4*G22</f>
        <v>4.9823634000000006E-2</v>
      </c>
      <c r="K22" s="34"/>
      <c r="L22" s="30">
        <f>+Portugal_indicadores!G74</f>
        <v>7.56582593889637E-2</v>
      </c>
      <c r="N22" s="34">
        <f t="shared" si="1"/>
        <v>2.5834625388963695E-2</v>
      </c>
      <c r="P22" s="114" t="s">
        <v>84</v>
      </c>
      <c r="Q22" s="109">
        <v>1</v>
      </c>
      <c r="R22" s="109">
        <v>-2.7269000000000002E-4</v>
      </c>
      <c r="S22" s="109">
        <v>6.347E-5</v>
      </c>
      <c r="T22" s="109">
        <v>-4.3</v>
      </c>
      <c r="U22" s="115" t="s">
        <v>76</v>
      </c>
      <c r="W22" s="57"/>
      <c r="X22" s="57"/>
      <c r="Y22" s="143"/>
      <c r="Z22" s="27">
        <f t="shared" si="2"/>
        <v>202507</v>
      </c>
      <c r="AA22" s="148">
        <f t="shared" si="3"/>
        <v>4.9823634000000006E-2</v>
      </c>
      <c r="AB22" s="34"/>
      <c r="AC22" s="148">
        <f t="shared" si="4"/>
        <v>7.56582593889637E-2</v>
      </c>
      <c r="AD22" s="57"/>
      <c r="AE22" s="146">
        <f t="shared" si="5"/>
        <v>2.5834625388963695E-2</v>
      </c>
      <c r="AF22" s="57"/>
      <c r="AG22" s="147">
        <f t="shared" si="6"/>
        <v>6.6742786898808749E-4</v>
      </c>
    </row>
    <row r="23" spans="2:33" ht="16" thickBot="1">
      <c r="D23" s="28"/>
      <c r="E23" s="29"/>
      <c r="F23" s="29"/>
      <c r="G23" s="29"/>
      <c r="H23" s="29"/>
      <c r="J23" s="138">
        <f>+AVERAGE(J11:J22)</f>
        <v>5.3966608999999999E-2</v>
      </c>
      <c r="K23" s="138"/>
      <c r="L23" s="138">
        <f>+AVERAGE(L11:L22)</f>
        <v>7.5658259388963686E-2</v>
      </c>
      <c r="N23" s="139">
        <f>+L23-J23</f>
        <v>2.1691650388963687E-2</v>
      </c>
      <c r="P23" s="114" t="s">
        <v>278</v>
      </c>
      <c r="Q23" s="109">
        <v>1</v>
      </c>
      <c r="R23" s="109">
        <v>2.0400000000000001E-3</v>
      </c>
      <c r="S23" s="109">
        <v>2.6142E-4</v>
      </c>
      <c r="T23" s="109">
        <v>7.79</v>
      </c>
      <c r="U23" s="115" t="s">
        <v>76</v>
      </c>
      <c r="W23" s="57"/>
      <c r="X23" s="57"/>
      <c r="Y23" s="143"/>
      <c r="Z23" s="57"/>
      <c r="AA23" s="19"/>
      <c r="AB23" s="19"/>
      <c r="AC23" s="19"/>
      <c r="AD23" s="57"/>
      <c r="AE23" s="57"/>
      <c r="AF23" s="57"/>
    </row>
    <row r="24" spans="2:33" ht="16" thickBot="1">
      <c r="P24" s="114" t="s">
        <v>280</v>
      </c>
      <c r="Q24" s="109">
        <v>1</v>
      </c>
      <c r="R24" s="109">
        <v>4.3E-3</v>
      </c>
      <c r="S24" s="109">
        <v>1.0300000000000001E-3</v>
      </c>
      <c r="T24" s="109">
        <v>4.16</v>
      </c>
      <c r="U24" s="115">
        <v>1E-4</v>
      </c>
      <c r="W24" s="57"/>
      <c r="X24" s="57"/>
      <c r="Y24" s="143"/>
      <c r="Z24" s="57"/>
      <c r="AA24" s="19"/>
      <c r="AB24" s="19"/>
      <c r="AC24" s="19"/>
      <c r="AD24" s="57"/>
      <c r="AE24" s="57"/>
      <c r="AF24" s="57"/>
    </row>
    <row r="25" spans="2:33" ht="16" thickBot="1">
      <c r="P25" s="112" t="s">
        <v>279</v>
      </c>
      <c r="Q25" s="116">
        <v>1</v>
      </c>
      <c r="R25" s="116">
        <v>4.2599999999999999E-3</v>
      </c>
      <c r="S25" s="116">
        <v>9.6011999999999996E-4</v>
      </c>
      <c r="T25" s="116">
        <v>4.4400000000000004</v>
      </c>
      <c r="U25" s="113" t="s">
        <v>76</v>
      </c>
      <c r="W25" s="57"/>
      <c r="X25" s="57"/>
      <c r="Y25" s="143"/>
      <c r="Z25" s="57"/>
      <c r="AA25" s="19"/>
      <c r="AB25" s="19"/>
      <c r="AC25" s="19"/>
      <c r="AD25" s="57"/>
      <c r="AE25" s="57"/>
      <c r="AF25" s="57"/>
    </row>
    <row r="26" spans="2:33" ht="15.75" customHeight="1" thickBot="1">
      <c r="B26" s="12" t="s">
        <v>32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P26" s="160" t="s">
        <v>67</v>
      </c>
      <c r="Q26" s="161"/>
      <c r="R26" s="161"/>
      <c r="S26" s="161"/>
      <c r="T26" s="161"/>
      <c r="U26" s="161"/>
      <c r="V26" s="161"/>
      <c r="Y26" s="143"/>
    </row>
    <row r="27" spans="2:33" ht="25.5" customHeight="1" thickBot="1">
      <c r="B27" s="15"/>
      <c r="C27" s="7"/>
      <c r="D27" s="66">
        <f>+D4</f>
        <v>2.8999999999999998E-3</v>
      </c>
      <c r="E27" s="66">
        <f>+E4</f>
        <v>-2.7269000000000002E-4</v>
      </c>
      <c r="F27" s="66">
        <f>+F4</f>
        <v>2.0400000000000001E-3</v>
      </c>
      <c r="G27" s="66">
        <f>+G4</f>
        <v>4.3E-3</v>
      </c>
      <c r="H27" s="66">
        <f>+H4</f>
        <v>4.2599999999999999E-3</v>
      </c>
      <c r="I27" s="7"/>
      <c r="J27" s="39"/>
      <c r="K27" s="40"/>
      <c r="L27" s="40"/>
      <c r="M27" s="40"/>
      <c r="P27" s="120" t="s">
        <v>60</v>
      </c>
      <c r="Q27" s="105" t="s">
        <v>66</v>
      </c>
      <c r="R27" s="105" t="s">
        <v>3</v>
      </c>
      <c r="S27" s="105" t="s">
        <v>84</v>
      </c>
      <c r="T27" s="105" t="s">
        <v>278</v>
      </c>
      <c r="U27" s="105" t="s">
        <v>280</v>
      </c>
      <c r="V27" s="121" t="s">
        <v>279</v>
      </c>
      <c r="Y27" s="143"/>
    </row>
    <row r="28" spans="2:33" ht="58" customHeight="1" thickBot="1">
      <c r="B28" s="21" t="s">
        <v>30</v>
      </c>
      <c r="C28" s="47" t="s">
        <v>31</v>
      </c>
      <c r="D28" s="48" t="str">
        <f>+D10</f>
        <v>Unemployment_Rate</v>
      </c>
      <c r="E28" s="48" t="str">
        <f>+E10</f>
        <v>GDP_9</v>
      </c>
      <c r="F28" s="48" t="str">
        <f>+F10</f>
        <v>Inflation_11</v>
      </c>
      <c r="G28" s="48" t="str">
        <f>+G10</f>
        <v>LT_Interest_Rate_6</v>
      </c>
      <c r="H28" s="48" t="str">
        <f>+H10</f>
        <v>LT_Interest_Rate_8</v>
      </c>
      <c r="I28" s="7"/>
      <c r="J28" s="18" t="s">
        <v>85</v>
      </c>
      <c r="L28" s="22"/>
      <c r="P28" s="114" t="s">
        <v>66</v>
      </c>
      <c r="Q28" s="109">
        <v>1</v>
      </c>
      <c r="R28" s="109">
        <v>-0.99009999999999998</v>
      </c>
      <c r="S28" s="109">
        <v>-0.1153</v>
      </c>
      <c r="T28" s="109">
        <v>9.1399999999999995E-2</v>
      </c>
      <c r="U28" s="109">
        <v>-0.1105</v>
      </c>
      <c r="V28" s="115">
        <v>-2.18E-2</v>
      </c>
    </row>
    <row r="29" spans="2:33" ht="15.75" customHeight="1" thickBot="1">
      <c r="B29" s="27">
        <f>+Portugal_indicadores!A75</f>
        <v>202508</v>
      </c>
      <c r="C29" s="23"/>
      <c r="D29" s="28">
        <f>+Portugal_indicadores!T23</f>
        <v>6.2564355999999997</v>
      </c>
      <c r="E29" s="29">
        <f>+Portugal_indicadores!R14</f>
        <v>1.4</v>
      </c>
      <c r="F29" s="29">
        <f>+Portugal_indicadores!S12</f>
        <v>2.6</v>
      </c>
      <c r="G29" s="29">
        <f>+Portugal_indicadores!U17</f>
        <v>2.9177129652318299</v>
      </c>
      <c r="H29" s="29">
        <f>+Portugal_indicadores!U15</f>
        <v>2.9377129652318299</v>
      </c>
      <c r="I29" s="24"/>
      <c r="J29" s="30">
        <f>+$C$4+D29*$D$4+E29*$E$4+F29*$F$4+$H$4*H29+G29*$G$4</f>
        <v>5.2936720222384465E-2</v>
      </c>
      <c r="L29" s="33"/>
      <c r="M29" s="31"/>
      <c r="P29" s="114" t="s">
        <v>3</v>
      </c>
      <c r="Q29" s="109">
        <v>-0.99009999999999998</v>
      </c>
      <c r="R29" s="109">
        <v>1</v>
      </c>
      <c r="S29" s="109">
        <v>9.8900000000000002E-2</v>
      </c>
      <c r="T29" s="109">
        <v>-3.1600000000000003E-2</v>
      </c>
      <c r="U29" s="109">
        <v>5.45E-2</v>
      </c>
      <c r="V29" s="115">
        <v>1.1299999999999999E-2</v>
      </c>
    </row>
    <row r="30" spans="2:33" ht="16" thickBot="1">
      <c r="B30" s="27">
        <f>+Portugal_indicadores!A76</f>
        <v>202509</v>
      </c>
      <c r="C30" s="23"/>
      <c r="D30" s="28">
        <f>+Portugal_indicadores!T24</f>
        <v>6.2564355999999997</v>
      </c>
      <c r="E30" s="29">
        <f>+Portugal_indicadores!R15</f>
        <v>1.4</v>
      </c>
      <c r="F30" s="29">
        <f>+Portugal_indicadores!S13</f>
        <v>2.6</v>
      </c>
      <c r="G30" s="29">
        <f>+Portugal_indicadores!U18</f>
        <v>2.9177129652318299</v>
      </c>
      <c r="H30" s="29">
        <f>+Portugal_indicadores!U16</f>
        <v>2.9177129652318299</v>
      </c>
      <c r="I30" s="24"/>
      <c r="J30" s="30">
        <f t="shared" ref="J30:J33" si="7">+$C$4+D30*$D$4+E30*$E$4+F30*$F$4+$H$4*H30+G30*$G$4</f>
        <v>5.2851520222384464E-2</v>
      </c>
      <c r="L30" s="33"/>
      <c r="M30" s="31"/>
      <c r="P30" s="114" t="s">
        <v>84</v>
      </c>
      <c r="Q30" s="109">
        <v>-0.1153</v>
      </c>
      <c r="R30" s="109">
        <v>9.8900000000000002E-2</v>
      </c>
      <c r="S30" s="109">
        <v>1</v>
      </c>
      <c r="T30" s="109">
        <v>-0.12520000000000001</v>
      </c>
      <c r="U30" s="109">
        <v>4.1300000000000003E-2</v>
      </c>
      <c r="V30" s="115">
        <v>6.2100000000000002E-2</v>
      </c>
    </row>
    <row r="31" spans="2:33" ht="16" thickBot="1">
      <c r="B31" s="27">
        <f>+Portugal_indicadores!A77</f>
        <v>202510</v>
      </c>
      <c r="C31" s="23"/>
      <c r="D31" s="28">
        <f>+Portugal_indicadores!T25</f>
        <v>6.2095871999999996</v>
      </c>
      <c r="E31" s="29">
        <f>+Portugal_indicadores!R16</f>
        <v>-0.4</v>
      </c>
      <c r="F31" s="29">
        <f>+Portugal_indicadores!S14</f>
        <v>3.0129636999999998</v>
      </c>
      <c r="G31" s="29">
        <f>+Portugal_indicadores!U19</f>
        <v>2.8877129652318301</v>
      </c>
      <c r="H31" s="29">
        <f>+Portugal_indicadores!U17</f>
        <v>2.9177129652318299</v>
      </c>
      <c r="I31" s="24"/>
      <c r="J31" s="30">
        <f t="shared" si="7"/>
        <v>5.3919947810384457E-2</v>
      </c>
      <c r="L31" s="33"/>
      <c r="M31" s="31"/>
      <c r="P31" s="114" t="s">
        <v>278</v>
      </c>
      <c r="Q31" s="109">
        <v>9.1399999999999995E-2</v>
      </c>
      <c r="R31" s="109">
        <v>-3.1600000000000003E-2</v>
      </c>
      <c r="S31" s="109">
        <v>-0.12520000000000001</v>
      </c>
      <c r="T31" s="109">
        <v>1</v>
      </c>
      <c r="U31" s="109">
        <v>-0.45500000000000002</v>
      </c>
      <c r="V31" s="115">
        <v>-0.26240000000000002</v>
      </c>
    </row>
    <row r="32" spans="2:33" ht="16.5" customHeight="1" thickBot="1">
      <c r="B32" s="27">
        <f>+Portugal_indicadores!A78</f>
        <v>202511</v>
      </c>
      <c r="C32" s="23"/>
      <c r="D32" s="28">
        <f>+Portugal_indicadores!T26</f>
        <v>6.2095871999999996</v>
      </c>
      <c r="E32" s="29">
        <f>+Portugal_indicadores!R17</f>
        <v>-0.4</v>
      </c>
      <c r="F32" s="29">
        <f>+Portugal_indicadores!S15</f>
        <v>3.0129636999999998</v>
      </c>
      <c r="G32" s="29">
        <f>+Portugal_indicadores!U20</f>
        <v>2.8877129652318301</v>
      </c>
      <c r="H32" s="29">
        <f>+Portugal_indicadores!U18</f>
        <v>2.9177129652318299</v>
      </c>
      <c r="I32" s="24"/>
      <c r="J32" s="30">
        <f>+$C$4+D32*$D$4+E32*$E$4+F32*$F$4+$H$4*H32+G32*$G$4</f>
        <v>5.3919947810384457E-2</v>
      </c>
      <c r="L32" s="33"/>
      <c r="M32" s="31"/>
      <c r="P32" s="114" t="s">
        <v>280</v>
      </c>
      <c r="Q32" s="109">
        <v>-0.1105</v>
      </c>
      <c r="R32" s="109">
        <v>5.45E-2</v>
      </c>
      <c r="S32" s="109">
        <v>4.1300000000000003E-2</v>
      </c>
      <c r="T32" s="109">
        <v>-0.45500000000000002</v>
      </c>
      <c r="U32" s="109">
        <v>1</v>
      </c>
      <c r="V32" s="115">
        <v>-0.70309999999999995</v>
      </c>
    </row>
    <row r="33" spans="2:24" ht="18" customHeight="1">
      <c r="B33" s="27">
        <f>+Portugal_indicadores!A79</f>
        <v>202512</v>
      </c>
      <c r="C33" s="25"/>
      <c r="D33" s="28">
        <f>+Portugal_indicadores!T27</f>
        <v>6.2095871999999996</v>
      </c>
      <c r="E33" s="29">
        <f>+Portugal_indicadores!R18</f>
        <v>-0.4</v>
      </c>
      <c r="F33" s="29">
        <f>+Portugal_indicadores!S16</f>
        <v>2.5845929000000001</v>
      </c>
      <c r="G33" s="29">
        <f>+Portugal_indicadores!U21</f>
        <v>2.8877129652318301</v>
      </c>
      <c r="H33" s="29">
        <f>+Portugal_indicadores!U19</f>
        <v>2.8877129652318301</v>
      </c>
      <c r="I33" s="24"/>
      <c r="J33" s="30">
        <f t="shared" si="7"/>
        <v>5.2918271378384459E-2</v>
      </c>
      <c r="L33" s="31"/>
      <c r="M33" s="31"/>
      <c r="P33" s="112" t="s">
        <v>279</v>
      </c>
      <c r="Q33" s="116">
        <v>-2.18E-2</v>
      </c>
      <c r="R33" s="116">
        <v>1.1299999999999999E-2</v>
      </c>
      <c r="S33" s="116">
        <v>6.2100000000000002E-2</v>
      </c>
      <c r="T33" s="116">
        <v>-0.26240000000000002</v>
      </c>
      <c r="U33" s="116">
        <v>-0.70309999999999995</v>
      </c>
      <c r="V33" s="113">
        <v>1</v>
      </c>
    </row>
    <row r="34" spans="2:24" ht="31.5" customHeight="1">
      <c r="B34" s="27">
        <f>+Portugal_indicadores!A80</f>
        <v>202601</v>
      </c>
      <c r="C34" s="25"/>
      <c r="D34" s="28">
        <f>+Portugal_indicadores!T28</f>
        <v>6.4</v>
      </c>
      <c r="E34" s="29">
        <f>+Portugal_indicadores!R19</f>
        <v>0.6</v>
      </c>
      <c r="F34" s="29">
        <f>+Portugal_indicadores!S17</f>
        <v>2.5845929000000001</v>
      </c>
      <c r="G34" s="29">
        <f>+Portugal_indicadores!U22</f>
        <v>2.84771296523183</v>
      </c>
      <c r="H34" s="29">
        <f>+Portugal_indicadores!U20</f>
        <v>2.8877129652318301</v>
      </c>
      <c r="I34" s="24"/>
      <c r="J34" s="30">
        <f t="shared" ref="J34:J45" si="8">+$C$4+D34*$D$4+E34*$E$4+F34*$F$4+$H$4*H34+G34*$G$4</f>
        <v>5.3025778498384468E-2</v>
      </c>
      <c r="L34" s="33"/>
      <c r="M34" s="31"/>
      <c r="P34" s="165" t="s">
        <v>282</v>
      </c>
      <c r="Q34" s="165"/>
      <c r="R34" s="165"/>
      <c r="S34" s="165"/>
      <c r="T34" s="165"/>
      <c r="U34" s="165"/>
      <c r="V34" s="165"/>
    </row>
    <row r="35" spans="2:24" ht="15.75" customHeight="1">
      <c r="B35" s="27">
        <f>+Portugal_indicadores!A81</f>
        <v>202602</v>
      </c>
      <c r="C35" s="25"/>
      <c r="D35" s="28">
        <f>+Portugal_indicadores!T29</f>
        <v>6.4</v>
      </c>
      <c r="E35" s="29">
        <f>+Portugal_indicadores!R20</f>
        <v>0.6</v>
      </c>
      <c r="F35" s="29">
        <f>+Portugal_indicadores!S18</f>
        <v>2.5845929000000001</v>
      </c>
      <c r="G35" s="29">
        <f>+Portugal_indicadores!U23</f>
        <v>2.84771296523183</v>
      </c>
      <c r="H35" s="29">
        <f>+Portugal_indicadores!U21</f>
        <v>2.8877129652318301</v>
      </c>
      <c r="I35" s="24"/>
      <c r="J35" s="30">
        <f t="shared" si="8"/>
        <v>5.3025778498384468E-2</v>
      </c>
      <c r="L35" s="33"/>
      <c r="M35" s="31"/>
    </row>
    <row r="36" spans="2:24" ht="39.75" customHeight="1">
      <c r="B36" s="27">
        <f>+Portugal_indicadores!A82</f>
        <v>202603</v>
      </c>
      <c r="C36" s="25"/>
      <c r="D36" s="28">
        <f>+Portugal_indicadores!T30</f>
        <v>6.4</v>
      </c>
      <c r="E36" s="29">
        <f>+Portugal_indicadores!R21</f>
        <v>0.6</v>
      </c>
      <c r="F36" s="29">
        <f>+Portugal_indicadores!S19</f>
        <v>2.4013152999999998</v>
      </c>
      <c r="G36" s="29">
        <f>+Portugal_indicadores!U24</f>
        <v>2.84771296523183</v>
      </c>
      <c r="H36" s="29">
        <f>+Portugal_indicadores!U22</f>
        <v>2.84771296523183</v>
      </c>
      <c r="I36" s="24"/>
      <c r="J36" s="30">
        <f t="shared" si="8"/>
        <v>5.2481492194384465E-2</v>
      </c>
      <c r="L36" s="33"/>
      <c r="M36" s="31"/>
      <c r="P36" s="162" t="s">
        <v>37</v>
      </c>
      <c r="Q36" s="162"/>
      <c r="R36" s="162"/>
    </row>
    <row r="37" spans="2:24">
      <c r="B37" s="27">
        <f>+Portugal_indicadores!A83</f>
        <v>202604</v>
      </c>
      <c r="C37" s="25"/>
      <c r="D37" s="28">
        <f>+Portugal_indicadores!T31</f>
        <v>6.4</v>
      </c>
      <c r="E37" s="29">
        <f>+Portugal_indicadores!R22</f>
        <v>1.85</v>
      </c>
      <c r="F37" s="29">
        <f>+Portugal_indicadores!S20</f>
        <v>2.4013152999999998</v>
      </c>
      <c r="G37" s="29">
        <f>+Portugal_indicadores!U25</f>
        <v>2.7977129652318302</v>
      </c>
      <c r="H37" s="29">
        <f>+Portugal_indicadores!U23</f>
        <v>2.84771296523183</v>
      </c>
      <c r="I37" s="24"/>
      <c r="J37" s="30">
        <f t="shared" si="8"/>
        <v>5.1925629694384468E-2</v>
      </c>
      <c r="L37" s="33"/>
      <c r="M37" s="31"/>
      <c r="P37" s="163" t="s">
        <v>38</v>
      </c>
      <c r="Q37" s="163"/>
      <c r="R37" s="163"/>
    </row>
    <row r="38" spans="2:24" ht="30.75" customHeight="1">
      <c r="B38" s="27">
        <f>+Portugal_indicadores!A84</f>
        <v>202605</v>
      </c>
      <c r="C38" s="26"/>
      <c r="D38" s="28">
        <f>+Portugal_indicadores!T32</f>
        <v>6.4</v>
      </c>
      <c r="E38" s="29">
        <f>+Portugal_indicadores!R23</f>
        <v>1.85</v>
      </c>
      <c r="F38" s="29">
        <f>+Portugal_indicadores!S21</f>
        <v>2.4013152999999998</v>
      </c>
      <c r="G38" s="29">
        <f>+Portugal_indicadores!U26</f>
        <v>2.7977129652318302</v>
      </c>
      <c r="H38" s="29">
        <f>+Portugal_indicadores!U24</f>
        <v>2.84771296523183</v>
      </c>
      <c r="I38" s="24"/>
      <c r="J38" s="30">
        <f t="shared" si="8"/>
        <v>5.1925629694384468E-2</v>
      </c>
      <c r="L38" s="31"/>
      <c r="M38" s="31"/>
      <c r="P38" s="163" t="s">
        <v>39</v>
      </c>
      <c r="Q38" s="163"/>
      <c r="R38" s="163"/>
    </row>
    <row r="39" spans="2:24" ht="30.75" customHeight="1" thickBot="1">
      <c r="B39" s="27">
        <f>+Portugal_indicadores!A85</f>
        <v>202606</v>
      </c>
      <c r="C39" s="32"/>
      <c r="D39" s="28">
        <f>+Portugal_indicadores!T33</f>
        <v>6.4</v>
      </c>
      <c r="E39" s="29">
        <f>+Portugal_indicadores!R24</f>
        <v>1.85</v>
      </c>
      <c r="F39" s="29">
        <f>+Portugal_indicadores!S22</f>
        <v>2.3199071</v>
      </c>
      <c r="G39" s="29">
        <f>+Portugal_indicadores!U27</f>
        <v>2.7977129652318302</v>
      </c>
      <c r="H39" s="29">
        <f>+Portugal_indicadores!U25</f>
        <v>2.7977129652318302</v>
      </c>
      <c r="I39" s="24"/>
      <c r="J39" s="30">
        <f t="shared" si="8"/>
        <v>5.1546556966384466E-2</v>
      </c>
      <c r="L39" s="33"/>
      <c r="M39" s="31"/>
      <c r="P39" s="163" t="s">
        <v>281</v>
      </c>
      <c r="Q39" s="163"/>
      <c r="R39" s="163"/>
    </row>
    <row r="40" spans="2:24" ht="15" customHeight="1">
      <c r="B40" s="27">
        <f>+Portugal_indicadores!A86</f>
        <v>202607</v>
      </c>
      <c r="C40" s="32"/>
      <c r="D40" s="28">
        <f>+Portugal_indicadores!T34</f>
        <v>6.4</v>
      </c>
      <c r="E40" s="29">
        <f>+Portugal_indicadores!R25</f>
        <v>1.78</v>
      </c>
      <c r="F40" s="29">
        <f>+Portugal_indicadores!S23</f>
        <v>2.3199071</v>
      </c>
      <c r="G40" s="29">
        <f>+Portugal_indicadores!U28</f>
        <v>1.708</v>
      </c>
      <c r="H40" s="29">
        <f>+Portugal_indicadores!U26</f>
        <v>2.7977129652318302</v>
      </c>
      <c r="I40" s="24"/>
      <c r="J40" s="30">
        <f t="shared" si="8"/>
        <v>4.6879879515887603E-2</v>
      </c>
      <c r="L40" s="33"/>
      <c r="M40" s="31"/>
      <c r="P40" s="172" t="s">
        <v>68</v>
      </c>
      <c r="Q40" s="173"/>
      <c r="R40" s="173"/>
    </row>
    <row r="41" spans="2:24" ht="16" thickBot="1">
      <c r="B41" s="27">
        <f>+Portugal_indicadores!A87</f>
        <v>202608</v>
      </c>
      <c r="C41" s="32"/>
      <c r="D41" s="28">
        <f>+Portugal_indicadores!T35</f>
        <v>6.4</v>
      </c>
      <c r="E41" s="29">
        <f>+Portugal_indicadores!R26</f>
        <v>1.78</v>
      </c>
      <c r="F41" s="29">
        <f>+Portugal_indicadores!S24</f>
        <v>2.3199071</v>
      </c>
      <c r="G41" s="29">
        <f>+Portugal_indicadores!U29</f>
        <v>1.637</v>
      </c>
      <c r="H41" s="29">
        <f>+Portugal_indicadores!U27</f>
        <v>2.7977129652318302</v>
      </c>
      <c r="I41" s="24"/>
      <c r="J41" s="30">
        <f t="shared" si="8"/>
        <v>4.6574579515887601E-2</v>
      </c>
      <c r="L41" s="33"/>
      <c r="M41" s="31"/>
      <c r="P41" s="174" t="s">
        <v>69</v>
      </c>
      <c r="Q41" s="175"/>
      <c r="R41" s="175"/>
    </row>
    <row r="42" spans="2:24" ht="14.5" customHeight="1" thickBot="1">
      <c r="B42" s="27">
        <f>+Portugal_indicadores!A88</f>
        <v>202609</v>
      </c>
      <c r="C42" s="32"/>
      <c r="D42" s="28">
        <f>+Portugal_indicadores!T36</f>
        <v>6.4</v>
      </c>
      <c r="E42" s="29">
        <f>+Portugal_indicadores!R27</f>
        <v>1.78</v>
      </c>
      <c r="F42" s="29">
        <f>+Portugal_indicadores!S25</f>
        <v>2.2181974000000002</v>
      </c>
      <c r="G42" s="29">
        <f>+Portugal_indicadores!U30</f>
        <v>1.6240000000000001</v>
      </c>
      <c r="H42" s="29">
        <f>+Portugal_indicadores!U28</f>
        <v>1.708</v>
      </c>
      <c r="I42" s="24"/>
      <c r="J42" s="30">
        <f t="shared" si="8"/>
        <v>4.1669014496000002E-2</v>
      </c>
      <c r="L42" s="33"/>
      <c r="M42" s="31"/>
      <c r="P42" s="122" t="s">
        <v>44</v>
      </c>
      <c r="Q42" s="105" t="s">
        <v>70</v>
      </c>
      <c r="R42" s="121" t="s">
        <v>71</v>
      </c>
      <c r="W42" s="107"/>
      <c r="X42" s="107"/>
    </row>
    <row r="43" spans="2:24" ht="15" customHeight="1" thickBot="1">
      <c r="B43" s="27">
        <f>+Portugal_indicadores!A89</f>
        <v>202610</v>
      </c>
      <c r="D43" s="28">
        <f>+Portugal_indicadores!T37</f>
        <v>6.4</v>
      </c>
      <c r="E43" s="29">
        <f>+Portugal_indicadores!R28</f>
        <v>1.79</v>
      </c>
      <c r="F43" s="29">
        <f>+Portugal_indicadores!S26</f>
        <v>2.2181974000000002</v>
      </c>
      <c r="G43" s="29">
        <f>+Portugal_indicadores!U31</f>
        <v>1.639</v>
      </c>
      <c r="H43" s="29">
        <f>+Portugal_indicadores!U29</f>
        <v>1.637</v>
      </c>
      <c r="J43" s="30">
        <f t="shared" si="8"/>
        <v>4.1428327596E-2</v>
      </c>
      <c r="P43" s="123">
        <v>20</v>
      </c>
      <c r="Q43" s="116">
        <v>17.39</v>
      </c>
      <c r="R43" s="113">
        <v>0.62749999999999995</v>
      </c>
      <c r="W43" s="107"/>
      <c r="X43" s="107"/>
    </row>
    <row r="44" spans="2:24" ht="18" customHeight="1" thickBot="1">
      <c r="B44" s="27">
        <f>+Portugal_indicadores!A90</f>
        <v>202611</v>
      </c>
      <c r="C44" s="60"/>
      <c r="D44" s="28">
        <f>+Portugal_indicadores!T38</f>
        <v>6.4</v>
      </c>
      <c r="E44" s="29">
        <f>+Portugal_indicadores!R29</f>
        <v>1.79</v>
      </c>
      <c r="F44" s="29">
        <f>+Portugal_indicadores!S27</f>
        <v>2.2181974000000002</v>
      </c>
      <c r="G44" s="29">
        <f>+Portugal_indicadores!U32</f>
        <v>1.611</v>
      </c>
      <c r="H44" s="29">
        <f>+Portugal_indicadores!U30</f>
        <v>1.6240000000000001</v>
      </c>
      <c r="I44" s="7"/>
      <c r="J44" s="30">
        <f t="shared" si="8"/>
        <v>4.1252547596E-2</v>
      </c>
      <c r="P44" s="110" t="s">
        <v>72</v>
      </c>
      <c r="Q44" s="111">
        <v>0.79300000000000004</v>
      </c>
      <c r="W44" s="83"/>
      <c r="X44" s="83"/>
    </row>
    <row r="45" spans="2:24" ht="15.75" customHeight="1" thickBot="1">
      <c r="B45" s="27">
        <f>+Portugal_indicadores!A91</f>
        <v>202612</v>
      </c>
      <c r="C45" s="25"/>
      <c r="D45" s="28">
        <f>+Portugal_indicadores!T39</f>
        <v>6.4</v>
      </c>
      <c r="E45" s="29">
        <f>+Portugal_indicadores!R30</f>
        <v>1.79</v>
      </c>
      <c r="F45" s="29">
        <f>+Portugal_indicadores!S28</f>
        <v>0</v>
      </c>
      <c r="G45" s="29">
        <f>+Portugal_indicadores!U33</f>
        <v>1.591</v>
      </c>
      <c r="H45" s="29">
        <f>+Portugal_indicadores!U31</f>
        <v>1.639</v>
      </c>
      <c r="I45" s="24"/>
      <c r="J45" s="30">
        <f t="shared" si="8"/>
        <v>3.6705324900000003E-2</v>
      </c>
      <c r="P45" s="114" t="s">
        <v>73</v>
      </c>
      <c r="Q45" s="115">
        <v>49</v>
      </c>
      <c r="W45" s="57"/>
      <c r="X45" s="57"/>
    </row>
    <row r="46" spans="2:24" ht="15.75" customHeight="1">
      <c r="B46" s="61"/>
      <c r="C46" s="25"/>
      <c r="D46" s="62"/>
      <c r="E46" s="62"/>
      <c r="F46" s="62"/>
      <c r="G46" s="62"/>
      <c r="H46" s="62"/>
      <c r="I46" s="24"/>
      <c r="J46" s="63"/>
      <c r="P46" s="112" t="s">
        <v>74</v>
      </c>
      <c r="Q46" s="113">
        <v>0.55500000000000005</v>
      </c>
      <c r="W46" s="57"/>
      <c r="X46" s="57"/>
    </row>
    <row r="47" spans="2:24" ht="51" customHeight="1">
      <c r="B47" s="61"/>
      <c r="C47" s="25"/>
      <c r="D47" s="62"/>
      <c r="E47" s="62"/>
      <c r="F47" s="62"/>
      <c r="G47" s="62"/>
      <c r="H47" s="62"/>
      <c r="I47" s="24"/>
      <c r="J47" s="63"/>
      <c r="P47" s="165" t="s">
        <v>282</v>
      </c>
      <c r="Q47" s="165"/>
      <c r="R47" s="165"/>
      <c r="W47" s="57"/>
      <c r="X47" s="57"/>
    </row>
    <row r="48" spans="2:24">
      <c r="B48" s="61"/>
      <c r="C48" s="25"/>
      <c r="D48" s="62"/>
      <c r="E48" s="62"/>
      <c r="F48" s="62"/>
      <c r="G48" s="62"/>
      <c r="H48" s="62"/>
      <c r="I48" s="24"/>
      <c r="J48" s="63"/>
      <c r="P48" s="57"/>
      <c r="Q48" s="57"/>
      <c r="R48" s="57"/>
      <c r="S48" s="57"/>
      <c r="T48" s="57"/>
      <c r="U48" s="57"/>
      <c r="V48" s="57"/>
      <c r="W48" s="57"/>
      <c r="X48" s="57"/>
    </row>
    <row r="49" spans="2:32">
      <c r="B49" s="61"/>
      <c r="D49" s="62"/>
      <c r="E49" s="62"/>
      <c r="F49" s="62"/>
      <c r="G49" s="62"/>
      <c r="H49" s="62"/>
      <c r="J49" s="63"/>
      <c r="P49" s="57"/>
      <c r="Q49" s="57"/>
      <c r="R49" s="57"/>
      <c r="S49" s="57"/>
      <c r="T49" s="57"/>
      <c r="U49" s="57"/>
      <c r="V49" s="57"/>
      <c r="W49" s="57"/>
      <c r="X49" s="57"/>
    </row>
    <row r="50" spans="2:32" ht="15" customHeight="1">
      <c r="P50" s="57"/>
      <c r="Q50" s="57"/>
      <c r="R50" s="57"/>
      <c r="S50" s="57"/>
      <c r="T50" s="57"/>
      <c r="U50" s="57"/>
      <c r="V50" s="57"/>
      <c r="W50" s="57"/>
      <c r="X50" s="57"/>
    </row>
    <row r="51" spans="2:32" ht="15" customHeight="1">
      <c r="P51" s="107"/>
      <c r="Q51" s="107"/>
      <c r="R51" s="107"/>
      <c r="S51" s="107"/>
      <c r="T51" s="107"/>
      <c r="U51" s="107"/>
      <c r="V51" s="107"/>
      <c r="W51" s="107"/>
    </row>
    <row r="52" spans="2:32" ht="14.5" customHeight="1">
      <c r="P52" s="107"/>
      <c r="Q52" s="107"/>
      <c r="R52" s="83"/>
      <c r="S52" s="107"/>
      <c r="T52" s="107"/>
      <c r="U52" s="107"/>
      <c r="V52" s="107"/>
      <c r="W52" s="107"/>
    </row>
    <row r="53" spans="2:32" ht="15.75" customHeight="1">
      <c r="P53" s="107"/>
      <c r="Q53" s="107"/>
      <c r="R53" s="83"/>
      <c r="S53" s="83"/>
      <c r="T53" s="83"/>
      <c r="U53" s="83"/>
      <c r="V53" s="83"/>
      <c r="W53" s="83"/>
    </row>
    <row r="54" spans="2:32">
      <c r="B54" s="140" t="s">
        <v>287</v>
      </c>
      <c r="C54" s="141"/>
      <c r="D54" s="141"/>
      <c r="E54" s="141"/>
      <c r="F54" s="141"/>
      <c r="G54" s="141"/>
      <c r="H54" s="141"/>
      <c r="P54" s="57"/>
      <c r="Q54" s="57"/>
      <c r="R54" s="57"/>
      <c r="S54" s="57"/>
      <c r="T54" s="57"/>
      <c r="U54" s="57"/>
      <c r="V54" s="57"/>
      <c r="W54" s="57"/>
    </row>
    <row r="55" spans="2:32" ht="15" customHeight="1">
      <c r="B55" s="142" t="s">
        <v>286</v>
      </c>
      <c r="C55" s="141"/>
      <c r="D55" s="141"/>
      <c r="E55" s="141"/>
      <c r="F55" s="141"/>
      <c r="G55" s="141"/>
      <c r="H55" s="141"/>
      <c r="P55" s="57"/>
      <c r="Q55" s="57"/>
      <c r="R55" s="57"/>
      <c r="S55" s="57"/>
      <c r="T55" s="57"/>
      <c r="U55" s="57"/>
      <c r="V55" s="57"/>
      <c r="W55" s="57"/>
    </row>
    <row r="56" spans="2:32" ht="15.75" customHeight="1">
      <c r="P56" s="57"/>
      <c r="Q56" s="57"/>
      <c r="R56" s="57"/>
      <c r="S56" s="57"/>
      <c r="T56" s="57"/>
      <c r="U56" s="57"/>
      <c r="V56" s="57"/>
      <c r="W56" s="57"/>
    </row>
    <row r="57" spans="2:32" ht="25.5" customHeight="1">
      <c r="P57" s="57"/>
      <c r="Q57" s="57"/>
      <c r="R57" s="57"/>
      <c r="S57" s="57"/>
      <c r="T57" s="57"/>
      <c r="U57" s="57"/>
      <c r="V57" s="57"/>
      <c r="W57" s="57"/>
    </row>
    <row r="58" spans="2:32">
      <c r="P58" s="57"/>
      <c r="Q58" s="57"/>
      <c r="R58" s="57"/>
      <c r="S58" s="57"/>
      <c r="T58" s="57"/>
      <c r="U58" s="57"/>
      <c r="V58" s="57"/>
      <c r="W58" s="57"/>
    </row>
    <row r="59" spans="2:32" ht="15.75" customHeight="1"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44"/>
      <c r="AB59" s="144"/>
      <c r="AC59" s="144"/>
      <c r="AD59" s="106"/>
      <c r="AE59" s="106"/>
      <c r="AF59" s="106"/>
    </row>
    <row r="61" spans="2:32" ht="14.5" customHeight="1">
      <c r="P61" s="106"/>
      <c r="Q61" s="106"/>
      <c r="R61" s="106"/>
      <c r="S61" s="106"/>
      <c r="T61" s="106"/>
      <c r="U61" s="106"/>
      <c r="V61" s="106"/>
    </row>
    <row r="62" spans="2:32" ht="15" customHeight="1">
      <c r="P62" s="106"/>
      <c r="Q62" s="106"/>
      <c r="R62" s="106"/>
      <c r="S62" s="106"/>
      <c r="T62" s="106"/>
      <c r="U62" s="106"/>
      <c r="V62" s="106"/>
    </row>
    <row r="63" spans="2:32" ht="15" customHeight="1">
      <c r="P63" s="106"/>
      <c r="Q63" s="106"/>
      <c r="R63" s="106"/>
      <c r="S63" s="106"/>
      <c r="T63" s="106"/>
      <c r="U63" s="106"/>
      <c r="V63" s="106"/>
    </row>
    <row r="64" spans="2:32" ht="14.5" customHeight="1">
      <c r="P64" s="106"/>
      <c r="Q64" s="106"/>
      <c r="R64" s="106"/>
      <c r="S64" s="106"/>
      <c r="T64" s="106"/>
      <c r="U64" s="106"/>
      <c r="V64" s="106"/>
    </row>
    <row r="65" spans="16:22" ht="14.5" customHeight="1">
      <c r="P65" s="107"/>
      <c r="Q65" s="107"/>
      <c r="R65" s="107"/>
      <c r="S65" s="107"/>
      <c r="T65" s="107"/>
      <c r="U65" s="107"/>
      <c r="V65" s="107"/>
    </row>
    <row r="66" spans="16:22">
      <c r="P66" s="84"/>
      <c r="Q66" s="83"/>
      <c r="R66" s="83"/>
      <c r="S66" s="83"/>
      <c r="T66" s="83"/>
      <c r="U66" s="83"/>
      <c r="V66" s="83"/>
    </row>
    <row r="67" spans="16:22">
      <c r="P67" s="56"/>
      <c r="Q67" s="57"/>
      <c r="R67" s="57"/>
      <c r="S67" s="58"/>
      <c r="T67" s="57"/>
      <c r="U67" s="57"/>
      <c r="V67" s="57"/>
    </row>
    <row r="68" spans="16:22">
      <c r="P68" s="56"/>
      <c r="Q68" s="57"/>
      <c r="R68" s="58"/>
      <c r="S68" s="58"/>
      <c r="T68" s="58"/>
      <c r="U68" s="58"/>
      <c r="V68" s="58"/>
    </row>
    <row r="69" spans="16:22">
      <c r="P69" s="56"/>
      <c r="Q69" s="58"/>
      <c r="R69" s="58"/>
      <c r="S69" s="58"/>
      <c r="T69" s="58"/>
      <c r="U69" s="58"/>
      <c r="V69" s="58"/>
    </row>
    <row r="70" spans="16:22" ht="25.5" customHeight="1">
      <c r="P70" s="56"/>
      <c r="Q70" s="57"/>
      <c r="R70" s="58"/>
      <c r="S70" s="58"/>
      <c r="T70" s="58"/>
      <c r="U70" s="58"/>
      <c r="V70" s="58"/>
    </row>
    <row r="71" spans="16:22">
      <c r="P71" s="56"/>
      <c r="Q71" s="57"/>
      <c r="R71" s="58"/>
      <c r="S71" s="58"/>
      <c r="T71" s="58"/>
      <c r="U71" s="58"/>
      <c r="V71" s="58"/>
    </row>
    <row r="72" spans="16:22">
      <c r="P72" s="56"/>
      <c r="Q72" s="57"/>
      <c r="R72" s="58"/>
      <c r="S72" s="58"/>
      <c r="T72" s="58"/>
      <c r="U72" s="58"/>
      <c r="V72" s="57"/>
    </row>
    <row r="73" spans="16:22" ht="14.5" customHeight="1">
      <c r="P73" s="107"/>
      <c r="Q73" s="107"/>
      <c r="R73" s="107"/>
    </row>
    <row r="74" spans="16:22" ht="14.5" customHeight="1">
      <c r="P74" s="107"/>
      <c r="Q74" s="107"/>
      <c r="R74" s="107"/>
    </row>
    <row r="75" spans="16:22">
      <c r="P75" s="83"/>
      <c r="Q75" s="83"/>
      <c r="R75" s="83"/>
    </row>
    <row r="76" spans="16:22">
      <c r="P76" s="57"/>
      <c r="Q76" s="57"/>
      <c r="R76" s="57"/>
    </row>
    <row r="77" spans="16:22" ht="14.5" customHeight="1">
      <c r="P77" s="56"/>
      <c r="Q77" s="57"/>
    </row>
    <row r="78" spans="16:22">
      <c r="P78" s="56"/>
      <c r="Q78" s="57"/>
    </row>
    <row r="79" spans="16:22">
      <c r="P79" s="56"/>
      <c r="Q79" s="57"/>
    </row>
    <row r="80" spans="16:22" ht="29.25" customHeight="1">
      <c r="P80" s="106"/>
      <c r="Q80" s="106"/>
      <c r="R80" s="106"/>
      <c r="S80" s="106"/>
      <c r="T80" s="106"/>
      <c r="U80" s="106"/>
      <c r="V80" s="106"/>
    </row>
  </sheetData>
  <mergeCells count="25">
    <mergeCell ref="P36:R36"/>
    <mergeCell ref="P47:R47"/>
    <mergeCell ref="P37:R37"/>
    <mergeCell ref="P38:R38"/>
    <mergeCell ref="P39:R39"/>
    <mergeCell ref="P40:R40"/>
    <mergeCell ref="P41:R41"/>
    <mergeCell ref="P34:V34"/>
    <mergeCell ref="P4:V4"/>
    <mergeCell ref="P5:V5"/>
    <mergeCell ref="P8:U8"/>
    <mergeCell ref="P9:P10"/>
    <mergeCell ref="Q9:Q10"/>
    <mergeCell ref="T9:T10"/>
    <mergeCell ref="U9:U10"/>
    <mergeCell ref="P17:U17"/>
    <mergeCell ref="P18:P19"/>
    <mergeCell ref="Q18:Q19"/>
    <mergeCell ref="T18:T19"/>
    <mergeCell ref="U18:U19"/>
    <mergeCell ref="C2:H2"/>
    <mergeCell ref="P26:V26"/>
    <mergeCell ref="P2:V2"/>
    <mergeCell ref="P3:V3"/>
    <mergeCell ref="J9:L9"/>
  </mergeCells>
  <conditionalFormatting sqref="C11 I11">
    <cfRule type="expression" dxfId="43" priority="21">
      <formula>C6&lt;0</formula>
    </cfRule>
    <cfRule type="expression" dxfId="42" priority="22">
      <formula>C6&gt;=0</formula>
    </cfRule>
  </conditionalFormatting>
  <conditionalFormatting sqref="C12 I12">
    <cfRule type="expression" dxfId="41" priority="19">
      <formula>C6&lt;0</formula>
    </cfRule>
    <cfRule type="expression" dxfId="40" priority="20">
      <formula>C6&gt;=0</formula>
    </cfRule>
  </conditionalFormatting>
  <conditionalFormatting sqref="C13 I13">
    <cfRule type="expression" dxfId="39" priority="17">
      <formula>C6&lt;0</formula>
    </cfRule>
    <cfRule type="expression" dxfId="38" priority="18">
      <formula>C6&gt;=0</formula>
    </cfRule>
  </conditionalFormatting>
  <conditionalFormatting sqref="C14 I14">
    <cfRule type="expression" dxfId="37" priority="15">
      <formula>C6&lt;0</formula>
    </cfRule>
    <cfRule type="expression" dxfId="36" priority="16">
      <formula>C6&gt;=0</formula>
    </cfRule>
  </conditionalFormatting>
  <conditionalFormatting sqref="C15 I15">
    <cfRule type="expression" dxfId="35" priority="13">
      <formula>C6&lt;0</formula>
    </cfRule>
    <cfRule type="expression" dxfId="34" priority="14">
      <formula>C6&gt;=0</formula>
    </cfRule>
  </conditionalFormatting>
  <conditionalFormatting sqref="C16 I16 C26:I26">
    <cfRule type="expression" dxfId="33" priority="11">
      <formula>C6&lt;0</formula>
    </cfRule>
    <cfRule type="expression" dxfId="32" priority="12">
      <formula>C6&gt;=0</formula>
    </cfRule>
  </conditionalFormatting>
  <conditionalFormatting sqref="C17 I17">
    <cfRule type="expression" dxfId="31" priority="9">
      <formula>C6&lt;0</formula>
    </cfRule>
    <cfRule type="expression" dxfId="30" priority="10">
      <formula>C6&gt;=0</formula>
    </cfRule>
  </conditionalFormatting>
  <conditionalFormatting sqref="C27 I27">
    <cfRule type="expression" dxfId="29" priority="5">
      <formula>C5&lt;0</formula>
    </cfRule>
    <cfRule type="expression" dxfId="28" priority="6">
      <formula>C5&gt;=0</formula>
    </cfRule>
  </conditionalFormatting>
  <conditionalFormatting sqref="C5:I5 I6">
    <cfRule type="expression" dxfId="27" priority="3">
      <formula>C4&lt;0</formula>
    </cfRule>
    <cfRule type="expression" dxfId="26" priority="4">
      <formula>C4&gt;=0</formula>
    </cfRule>
  </conditionalFormatting>
  <conditionalFormatting sqref="C7:I8">
    <cfRule type="expression" dxfId="25" priority="7">
      <formula>C5&lt;0</formula>
    </cfRule>
    <cfRule type="expression" dxfId="24" priority="8">
      <formula>C5&gt;=0</formula>
    </cfRule>
  </conditionalFormatting>
  <conditionalFormatting sqref="C9:I9">
    <cfRule type="expression" dxfId="23" priority="1">
      <formula>C1048565&lt;0</formula>
    </cfRule>
    <cfRule type="expression" dxfId="22" priority="2">
      <formula>C1048565&gt;=0</formula>
    </cfRule>
  </conditionalFormatting>
  <hyperlinks>
    <hyperlink ref="B55" r:id="rId1" location=":~:text=MAE%20offre%20une%20interpr%C3%A9tation%20directe,mod%C3%A8le%2C%20indiquant%20sa%20capacit%C3%A9%20predictive." display="https://ithy.com/article/evaluation-metrices-regression-mae-mse-rmse-r2-jqlx1zyp - :~:text=MAE%20offre%20une%20interpr%C3%A9tation%20directe,mod%C3%A8le%2C%20indiquant%20sa%20capacit%C3%A9%20predictive." xr:uid="{BA5D7DA2-3706-4B60-B70B-6A811F8637A7}"/>
    <hyperlink ref="Z8" r:id="rId2" location=":~:text=MAE%20offre%20une%20interpr%C3%A9tation%20directe,mod%C3%A8le%2C%20indiquant%20sa%20capacit%C3%A9%20predictive." display="https://ithy.com/article/evaluation-metrices-regression-mae-mse-rmse-r2-jqlx1zyp - :~:text=MAE%20offre%20une%20interpr%C3%A9tation%20directe,mod%C3%A8le%2C%20indiquant%20sa%20capacit%C3%A9%20predictive." xr:uid="{F1DE6FD6-3BF2-4140-A6AD-30E4CE6C2975}"/>
  </hyperlinks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150F-5ACA-4F2E-9F6D-565B0E189B47}">
  <dimension ref="B1:BE80"/>
  <sheetViews>
    <sheetView showGridLines="0" tabSelected="1" topLeftCell="AV31" zoomScale="160" zoomScaleNormal="80" workbookViewId="0">
      <selection activeCell="BE37" sqref="BE37"/>
    </sheetView>
  </sheetViews>
  <sheetFormatPr baseColWidth="10" defaultColWidth="9.1640625" defaultRowHeight="15"/>
  <cols>
    <col min="2" max="2" width="11.5" customWidth="1"/>
    <col min="4" max="6" width="14.33203125" customWidth="1"/>
    <col min="7" max="7" width="1.83203125" customWidth="1"/>
    <col min="8" max="8" width="8.83203125" customWidth="1"/>
    <col min="9" max="9" width="1.83203125" customWidth="1"/>
    <col min="10" max="10" width="8.83203125" customWidth="1"/>
    <col min="11" max="11" width="1.83203125" customWidth="1"/>
    <col min="26" max="26" width="2.33203125" customWidth="1"/>
    <col min="28" max="28" width="2.1640625" customWidth="1"/>
    <col min="30" max="30" width="1.5" customWidth="1"/>
    <col min="32" max="32" width="1.83203125" customWidth="1"/>
    <col min="34" max="34" width="1.83203125" customWidth="1"/>
    <col min="36" max="36" width="1.83203125" customWidth="1"/>
    <col min="38" max="38" width="10" bestFit="1" customWidth="1"/>
    <col min="51" max="51" width="15.6640625" customWidth="1"/>
  </cols>
  <sheetData>
    <row r="1" spans="2:37" ht="14.5" customHeight="1"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</row>
    <row r="2" spans="2:37" ht="15.75" customHeight="1">
      <c r="B2" s="6"/>
      <c r="C2" s="159" t="s">
        <v>29</v>
      </c>
      <c r="D2" s="159"/>
      <c r="E2" s="159"/>
      <c r="F2" s="159"/>
      <c r="G2" s="7"/>
      <c r="N2" s="162" t="s">
        <v>37</v>
      </c>
      <c r="O2" s="162"/>
      <c r="P2" s="162"/>
      <c r="Q2" s="162"/>
      <c r="R2" s="162"/>
      <c r="S2" s="162"/>
      <c r="T2" s="132"/>
      <c r="U2" s="106"/>
      <c r="V2" s="106"/>
      <c r="W2" s="106"/>
      <c r="X2" s="106"/>
      <c r="Y2" s="106"/>
      <c r="Z2" s="106"/>
      <c r="AA2" s="106"/>
      <c r="AB2" s="106"/>
      <c r="AC2" s="106"/>
      <c r="AD2" s="106"/>
    </row>
    <row r="3" spans="2:37" ht="44.25" customHeight="1" thickBot="1">
      <c r="B3" s="6"/>
      <c r="C3" s="43" t="str">
        <f>+N20</f>
        <v>Intercept</v>
      </c>
      <c r="D3" s="43" t="str">
        <f>+N21</f>
        <v>Unemployment_Rate</v>
      </c>
      <c r="E3" s="43" t="str">
        <f>+N22</f>
        <v>GDP_9</v>
      </c>
      <c r="F3" s="43" t="str">
        <f>+N23</f>
        <v>Euribor1year_3</v>
      </c>
      <c r="G3" s="7"/>
      <c r="N3" s="163" t="s">
        <v>38</v>
      </c>
      <c r="O3" s="163"/>
      <c r="P3" s="163"/>
      <c r="Q3" s="163"/>
      <c r="R3" s="163"/>
      <c r="S3" s="163"/>
      <c r="T3" s="133"/>
      <c r="U3" s="106"/>
      <c r="V3" s="106"/>
      <c r="W3" s="106"/>
      <c r="X3" s="106"/>
      <c r="Y3" s="106"/>
      <c r="Z3" s="106"/>
      <c r="AA3" s="106"/>
      <c r="AB3" s="106"/>
      <c r="AC3" s="106"/>
      <c r="AD3" s="106"/>
    </row>
    <row r="4" spans="2:37" ht="15.75" customHeight="1" thickTop="1">
      <c r="B4" s="6"/>
      <c r="C4" s="135">
        <f>+'Consolidado_projection (2)'!P20</f>
        <v>1.491E-2</v>
      </c>
      <c r="D4" s="135">
        <f>+P21</f>
        <v>2.4099999999999998E-3</v>
      </c>
      <c r="E4" s="135">
        <f>+P22</f>
        <v>-3.9175000000000001E-4</v>
      </c>
      <c r="F4" s="135">
        <f>+P23</f>
        <v>9.5099999999999994E-3</v>
      </c>
      <c r="G4" s="6"/>
      <c r="N4" s="163" t="s">
        <v>39</v>
      </c>
      <c r="O4" s="163"/>
      <c r="P4" s="163"/>
      <c r="Q4" s="163"/>
      <c r="R4" s="163"/>
      <c r="S4" s="163"/>
      <c r="T4" s="133"/>
      <c r="U4" s="106"/>
      <c r="V4" s="106"/>
      <c r="W4" s="106"/>
      <c r="X4" s="106"/>
      <c r="Y4" s="106"/>
      <c r="Z4" s="106"/>
      <c r="AA4" s="106"/>
      <c r="AB4" s="106"/>
      <c r="AC4" s="106"/>
      <c r="AD4" s="106"/>
    </row>
    <row r="5" spans="2:37" ht="24.75" customHeight="1" thickBot="1">
      <c r="B5" s="9" t="s">
        <v>36</v>
      </c>
      <c r="C5" s="10"/>
      <c r="D5" s="10" t="str">
        <f>+IF(D4&gt;0,"↑","↓")</f>
        <v>↑</v>
      </c>
      <c r="E5" s="10" t="str">
        <f>+IF(E4&gt;0,"↑","↓")</f>
        <v>↓</v>
      </c>
      <c r="F5" s="10" t="str">
        <f>+IF(F4&gt;0,"↑","↓")</f>
        <v>↑</v>
      </c>
      <c r="G5" s="7"/>
      <c r="N5" s="163" t="s">
        <v>281</v>
      </c>
      <c r="O5" s="163"/>
      <c r="P5" s="163"/>
      <c r="Q5" s="163"/>
      <c r="R5" s="163"/>
      <c r="S5" s="163"/>
      <c r="T5" s="133"/>
    </row>
    <row r="6" spans="2:37" ht="16" thickBot="1">
      <c r="B6" s="11"/>
      <c r="C6" s="8"/>
      <c r="D6" s="8"/>
      <c r="E6" s="8"/>
      <c r="F6" s="8"/>
      <c r="G6" s="7"/>
      <c r="N6" s="110" t="s">
        <v>40</v>
      </c>
      <c r="O6" s="111">
        <v>49</v>
      </c>
    </row>
    <row r="7" spans="2:37" ht="14.5" customHeight="1" thickBot="1">
      <c r="B7" s="12" t="s">
        <v>75</v>
      </c>
      <c r="C7" s="12"/>
      <c r="D7" s="12"/>
      <c r="E7" s="12"/>
      <c r="F7" s="12"/>
      <c r="G7" s="12"/>
      <c r="H7" s="12"/>
      <c r="I7" s="12"/>
      <c r="J7" s="12"/>
      <c r="K7" s="12"/>
      <c r="N7" s="112" t="s">
        <v>41</v>
      </c>
      <c r="O7" s="113">
        <v>49</v>
      </c>
    </row>
    <row r="8" spans="2:37" ht="16" thickBot="1">
      <c r="B8" s="13"/>
      <c r="C8" s="13"/>
      <c r="D8" s="13"/>
      <c r="E8" s="13"/>
      <c r="F8" s="13"/>
      <c r="G8" s="13"/>
      <c r="H8" s="13"/>
      <c r="I8" s="13"/>
      <c r="J8" s="13"/>
      <c r="K8" s="13"/>
      <c r="N8" s="160" t="s">
        <v>42</v>
      </c>
      <c r="O8" s="161"/>
      <c r="P8" s="161"/>
      <c r="Q8" s="161"/>
      <c r="R8" s="161"/>
      <c r="S8" s="161"/>
    </row>
    <row r="9" spans="2:37">
      <c r="B9" s="15"/>
      <c r="C9" s="7"/>
      <c r="D9" s="7"/>
      <c r="E9" s="7"/>
      <c r="F9" s="7"/>
      <c r="G9" s="7"/>
      <c r="H9" s="164" t="s">
        <v>283</v>
      </c>
      <c r="I9" s="164"/>
      <c r="J9" s="164"/>
      <c r="K9" s="13"/>
      <c r="N9" s="166" t="s">
        <v>43</v>
      </c>
      <c r="O9" s="168" t="s">
        <v>44</v>
      </c>
      <c r="P9" s="104" t="s">
        <v>45</v>
      </c>
      <c r="Q9" s="104" t="s">
        <v>47</v>
      </c>
      <c r="R9" s="168" t="s">
        <v>49</v>
      </c>
      <c r="S9" s="170" t="s">
        <v>50</v>
      </c>
    </row>
    <row r="10" spans="2:37" ht="58" customHeight="1" thickBot="1">
      <c r="B10" s="16" t="s">
        <v>30</v>
      </c>
      <c r="C10" s="44" t="s">
        <v>31</v>
      </c>
      <c r="D10" s="45" t="str">
        <f>+D3</f>
        <v>Unemployment_Rate</v>
      </c>
      <c r="E10" s="45" t="str">
        <f>+E3</f>
        <v>GDP_9</v>
      </c>
      <c r="F10" s="45" t="str">
        <f>+F3</f>
        <v>Euribor1year_3</v>
      </c>
      <c r="G10" s="17"/>
      <c r="H10" s="18" t="s">
        <v>131</v>
      </c>
      <c r="I10" s="19"/>
      <c r="J10" s="18" t="s">
        <v>132</v>
      </c>
      <c r="K10" s="19"/>
      <c r="N10" s="167"/>
      <c r="O10" s="169"/>
      <c r="P10" s="105" t="s">
        <v>46</v>
      </c>
      <c r="Q10" s="105" t="s">
        <v>48</v>
      </c>
      <c r="R10" s="169"/>
      <c r="S10" s="171"/>
      <c r="X10" s="16" t="s">
        <v>30</v>
      </c>
      <c r="Y10" s="18" t="s">
        <v>131</v>
      </c>
      <c r="Z10" s="19"/>
      <c r="AA10" s="18" t="s">
        <v>132</v>
      </c>
      <c r="AC10" s="18" t="s">
        <v>290</v>
      </c>
      <c r="AE10" s="18" t="s">
        <v>291</v>
      </c>
      <c r="AG10" s="18" t="s">
        <v>292</v>
      </c>
      <c r="AI10" s="18" t="s">
        <v>288</v>
      </c>
      <c r="AK10" s="18" t="s">
        <v>289</v>
      </c>
    </row>
    <row r="11" spans="2:37" ht="16" thickBot="1">
      <c r="B11" s="27">
        <f>+Portugal_indicadores!A63</f>
        <v>202408</v>
      </c>
      <c r="C11" s="13"/>
      <c r="D11" s="28">
        <f>+Portugal_indicadores!J63</f>
        <v>6.1</v>
      </c>
      <c r="E11" s="29">
        <f>+Portugal_indicadores!H54</f>
        <v>0.6</v>
      </c>
      <c r="F11" s="29">
        <f>+Portugal_indicadores!M60</f>
        <v>3.6821000000000002</v>
      </c>
      <c r="G11" s="20"/>
      <c r="H11" s="30">
        <f>+$C$4+D11*$D$4+E11*$E$4+F11*$F$4</f>
        <v>6.4392721E-2</v>
      </c>
      <c r="I11" s="124"/>
      <c r="J11" s="30">
        <f>+Portugal_indicadores!G63</f>
        <v>7.56582593889637E-2</v>
      </c>
      <c r="K11" s="14"/>
      <c r="L11" s="34">
        <f>+J11-H11</f>
        <v>1.12655383889637E-2</v>
      </c>
      <c r="N11" s="114" t="s">
        <v>51</v>
      </c>
      <c r="O11" s="109">
        <v>3</v>
      </c>
      <c r="P11" s="109">
        <v>1.6469999999999999E-2</v>
      </c>
      <c r="Q11" s="109">
        <v>5.4900000000000001E-3</v>
      </c>
      <c r="R11" s="109">
        <v>440.59</v>
      </c>
      <c r="S11" s="115" t="s">
        <v>76</v>
      </c>
      <c r="X11" s="27">
        <f>B11</f>
        <v>202408</v>
      </c>
      <c r="Y11" s="148">
        <f>H11</f>
        <v>6.4392721E-2</v>
      </c>
      <c r="Z11" s="124"/>
      <c r="AA11" s="148">
        <f>J11</f>
        <v>7.56582593889637E-2</v>
      </c>
      <c r="AC11" s="146">
        <f>AA11-Y11</f>
        <v>1.12655383889637E-2</v>
      </c>
      <c r="AE11" s="147">
        <f>POWER(AC11,2)</f>
        <v>1.2691235519321484E-4</v>
      </c>
      <c r="AG11" s="147">
        <f>SUM(AE11:AE22)</f>
        <v>4.5482282594028296E-3</v>
      </c>
      <c r="AI11" s="151">
        <f>(1/COUNT(X11:X22))*AG11</f>
        <v>3.7901902161690247E-4</v>
      </c>
      <c r="AK11" s="151">
        <f>SQRT(AI11)</f>
        <v>1.9468410865217081E-2</v>
      </c>
    </row>
    <row r="12" spans="2:37" ht="16" thickBot="1">
      <c r="B12" s="27">
        <f>+Portugal_indicadores!A64</f>
        <v>202409</v>
      </c>
      <c r="C12" s="13"/>
      <c r="D12" s="28">
        <f>+Portugal_indicadores!J64</f>
        <v>6.1</v>
      </c>
      <c r="E12" s="29">
        <f>+Portugal_indicadores!H55</f>
        <v>0.6</v>
      </c>
      <c r="F12" s="29">
        <f>+Portugal_indicadores!M61</f>
        <v>3.6496</v>
      </c>
      <c r="G12" s="20"/>
      <c r="H12" s="30">
        <f t="shared" ref="H12:H22" si="0">+$C$4+D12*$D$4+E12*$E$4+F12*$F$4</f>
        <v>6.4083645999999994E-2</v>
      </c>
      <c r="I12" s="124"/>
      <c r="J12" s="30">
        <f>+Portugal_indicadores!G64</f>
        <v>7.56582593889637E-2</v>
      </c>
      <c r="K12" s="14"/>
      <c r="L12" s="34">
        <f t="shared" ref="L12:L23" si="1">+J12-H12</f>
        <v>1.1574613388963706E-2</v>
      </c>
      <c r="N12" s="114" t="s">
        <v>52</v>
      </c>
      <c r="O12" s="109">
        <v>45</v>
      </c>
      <c r="P12" s="109">
        <v>5.6057000000000004E-4</v>
      </c>
      <c r="Q12" s="109">
        <v>1.2459999999999999E-5</v>
      </c>
      <c r="R12" s="109"/>
      <c r="S12" s="115"/>
      <c r="X12" s="27">
        <f t="shared" ref="X12:X22" si="2">B12</f>
        <v>202409</v>
      </c>
      <c r="Y12" s="148">
        <f t="shared" ref="Y12:Y22" si="3">H12</f>
        <v>6.4083645999999994E-2</v>
      </c>
      <c r="Z12" s="124"/>
      <c r="AA12" s="148">
        <f t="shared" ref="AA12:AA22" si="4">J12</f>
        <v>7.56582593889637E-2</v>
      </c>
      <c r="AC12" s="146">
        <f t="shared" ref="AC12:AC22" si="5">AA12-Y12</f>
        <v>1.1574613388963706E-2</v>
      </c>
      <c r="AE12" s="147">
        <f t="shared" ref="AE12:AE22" si="6">POWER(AC12,2)</f>
        <v>1.3397167510397788E-4</v>
      </c>
      <c r="AK12" s="150"/>
    </row>
    <row r="13" spans="2:37" ht="16" thickBot="1">
      <c r="B13" s="27">
        <f>+Portugal_indicadores!A65</f>
        <v>202410</v>
      </c>
      <c r="C13" s="13"/>
      <c r="D13" s="28">
        <f>+Portugal_indicadores!J65</f>
        <v>6.7</v>
      </c>
      <c r="E13" s="29">
        <f>+Portugal_indicadores!H56</f>
        <v>0.6</v>
      </c>
      <c r="F13" s="29">
        <f>+Portugal_indicadores!M62</f>
        <v>3.5259</v>
      </c>
      <c r="G13" s="20"/>
      <c r="H13" s="30">
        <f t="shared" si="0"/>
        <v>6.4353258999999996E-2</v>
      </c>
      <c r="I13" s="124"/>
      <c r="J13" s="30">
        <f>+Portugal_indicadores!G65</f>
        <v>7.56582593889637E-2</v>
      </c>
      <c r="K13" s="14"/>
      <c r="L13" s="34">
        <f t="shared" si="1"/>
        <v>1.1305000388963704E-2</v>
      </c>
      <c r="N13" s="112" t="s">
        <v>53</v>
      </c>
      <c r="O13" s="116">
        <v>48</v>
      </c>
      <c r="P13" s="116">
        <v>1.703E-2</v>
      </c>
      <c r="Q13" s="116"/>
      <c r="R13" s="116"/>
      <c r="S13" s="113"/>
      <c r="X13" s="27">
        <f t="shared" si="2"/>
        <v>202410</v>
      </c>
      <c r="Y13" s="148">
        <f t="shared" si="3"/>
        <v>6.4353258999999996E-2</v>
      </c>
      <c r="Z13" s="124"/>
      <c r="AA13" s="148">
        <f t="shared" si="4"/>
        <v>7.56582593889637E-2</v>
      </c>
      <c r="AC13" s="146">
        <f t="shared" si="5"/>
        <v>1.1305000388963704E-2</v>
      </c>
      <c r="AE13" s="147">
        <f t="shared" si="6"/>
        <v>1.2780303379446951E-4</v>
      </c>
    </row>
    <row r="14" spans="2:37" ht="16" thickBot="1">
      <c r="B14" s="27">
        <f>+Portugal_indicadores!A66</f>
        <v>202411</v>
      </c>
      <c r="C14" s="13"/>
      <c r="D14" s="28">
        <f>+Portugal_indicadores!J66</f>
        <v>6.7</v>
      </c>
      <c r="E14" s="29">
        <f>+Portugal_indicadores!H57</f>
        <v>0.6</v>
      </c>
      <c r="F14" s="29">
        <f>+Portugal_indicadores!M63</f>
        <v>3.17</v>
      </c>
      <c r="G14" s="20"/>
      <c r="H14" s="30">
        <f t="shared" si="0"/>
        <v>6.0968649999999999E-2</v>
      </c>
      <c r="I14" s="124"/>
      <c r="J14" s="30">
        <f>+Portugal_indicadores!G66</f>
        <v>7.56582593889637E-2</v>
      </c>
      <c r="K14" s="14"/>
      <c r="L14" s="34">
        <f t="shared" si="1"/>
        <v>1.4689609388963701E-2</v>
      </c>
      <c r="N14" s="110" t="s">
        <v>54</v>
      </c>
      <c r="O14" s="117">
        <v>3.5300000000000002E-3</v>
      </c>
      <c r="P14" s="118" t="s">
        <v>55</v>
      </c>
      <c r="Q14" s="111">
        <v>0.96709999999999996</v>
      </c>
      <c r="X14" s="27">
        <f t="shared" si="2"/>
        <v>202411</v>
      </c>
      <c r="Y14" s="148">
        <f t="shared" si="3"/>
        <v>6.0968649999999999E-2</v>
      </c>
      <c r="Z14" s="124"/>
      <c r="AA14" s="148">
        <f t="shared" si="4"/>
        <v>7.56582593889637E-2</v>
      </c>
      <c r="AC14" s="146">
        <f t="shared" si="5"/>
        <v>1.4689609388963701E-2</v>
      </c>
      <c r="AE14" s="147">
        <f t="shared" si="6"/>
        <v>2.1578462400033053E-4</v>
      </c>
    </row>
    <row r="15" spans="2:37" ht="16" thickBot="1">
      <c r="B15" s="27">
        <f>+Portugal_indicadores!A67</f>
        <v>202412</v>
      </c>
      <c r="C15" s="13"/>
      <c r="D15" s="28">
        <f>+Portugal_indicadores!J67</f>
        <v>6.7</v>
      </c>
      <c r="E15" s="29">
        <f>+Portugal_indicadores!H58</f>
        <v>0.6</v>
      </c>
      <c r="F15" s="29">
        <f>+Portugal_indicadores!M64</f>
        <v>2.94</v>
      </c>
      <c r="G15" s="13"/>
      <c r="H15" s="30">
        <f t="shared" si="0"/>
        <v>5.8781349999999996E-2</v>
      </c>
      <c r="I15" s="125"/>
      <c r="J15" s="30">
        <f>+Portugal_indicadores!G67</f>
        <v>7.56582593889637E-2</v>
      </c>
      <c r="K15" s="13"/>
      <c r="L15" s="34">
        <f t="shared" si="1"/>
        <v>1.6876909388963704E-2</v>
      </c>
      <c r="N15" s="114" t="s">
        <v>56</v>
      </c>
      <c r="O15" s="109">
        <v>4.3360000000000003E-2</v>
      </c>
      <c r="P15" s="108" t="s">
        <v>57</v>
      </c>
      <c r="Q15" s="115">
        <v>0.96489999999999998</v>
      </c>
      <c r="X15" s="27">
        <f t="shared" si="2"/>
        <v>202412</v>
      </c>
      <c r="Y15" s="148">
        <f t="shared" si="3"/>
        <v>5.8781349999999996E-2</v>
      </c>
      <c r="Z15" s="125"/>
      <c r="AA15" s="148">
        <f t="shared" si="4"/>
        <v>7.56582593889637E-2</v>
      </c>
      <c r="AC15" s="146">
        <f t="shared" si="5"/>
        <v>1.6876909388963704E-2</v>
      </c>
      <c r="AE15" s="147">
        <f t="shared" si="6"/>
        <v>2.8483007052329122E-4</v>
      </c>
    </row>
    <row r="16" spans="2:37" ht="14.5" customHeight="1" thickBot="1">
      <c r="B16" s="27">
        <f>+Portugal_indicadores!A68</f>
        <v>202501</v>
      </c>
      <c r="C16" s="13"/>
      <c r="D16" s="28">
        <f>+Portugal_indicadores!J68</f>
        <v>6.6</v>
      </c>
      <c r="E16" s="29">
        <f>+Portugal_indicadores!H59</f>
        <v>0.4</v>
      </c>
      <c r="F16" s="29">
        <f>+Portugal_indicadores!M65</f>
        <v>2.69</v>
      </c>
      <c r="G16" s="13"/>
      <c r="H16" s="30">
        <f t="shared" si="0"/>
        <v>5.6241199999999991E-2</v>
      </c>
      <c r="I16" s="125"/>
      <c r="J16" s="30">
        <f>+Portugal_indicadores!G68</f>
        <v>7.56582593889637E-2</v>
      </c>
      <c r="K16" s="13"/>
      <c r="L16" s="34">
        <f t="shared" si="1"/>
        <v>1.9417059388963709E-2</v>
      </c>
      <c r="N16" s="112" t="s">
        <v>58</v>
      </c>
      <c r="O16" s="116">
        <v>8.1400799999999993</v>
      </c>
      <c r="P16" s="119"/>
      <c r="Q16" s="113"/>
      <c r="U16" s="107"/>
      <c r="V16" s="107"/>
      <c r="W16" s="107"/>
      <c r="X16" s="27">
        <f t="shared" si="2"/>
        <v>202501</v>
      </c>
      <c r="Y16" s="148">
        <f t="shared" si="3"/>
        <v>5.6241199999999991E-2</v>
      </c>
      <c r="Z16" s="125"/>
      <c r="AA16" s="148">
        <f t="shared" si="4"/>
        <v>7.56582593889637E-2</v>
      </c>
      <c r="AB16" s="107"/>
      <c r="AC16" s="146">
        <f t="shared" si="5"/>
        <v>1.9417059388963709E-2</v>
      </c>
      <c r="AD16" s="107"/>
      <c r="AE16" s="147">
        <f t="shared" si="6"/>
        <v>3.770221953145437E-4</v>
      </c>
    </row>
    <row r="17" spans="2:40" ht="29.25" customHeight="1" thickBot="1">
      <c r="B17" s="27">
        <f>+Portugal_indicadores!A69</f>
        <v>202502</v>
      </c>
      <c r="C17" s="13"/>
      <c r="D17" s="28">
        <f>+Portugal_indicadores!J69</f>
        <v>6.6</v>
      </c>
      <c r="E17" s="29">
        <f>+Portugal_indicadores!H60</f>
        <v>0.4</v>
      </c>
      <c r="F17" s="29">
        <f>+Portugal_indicadores!M66</f>
        <v>2.5099999999999998</v>
      </c>
      <c r="G17" s="13"/>
      <c r="H17" s="30">
        <f t="shared" si="0"/>
        <v>5.4529399999999992E-2</v>
      </c>
      <c r="I17" s="125"/>
      <c r="J17" s="30">
        <f>+Portugal_indicadores!G69</f>
        <v>7.56582593889637E-2</v>
      </c>
      <c r="K17" s="13"/>
      <c r="L17" s="34">
        <f t="shared" si="1"/>
        <v>2.1128859388963708E-2</v>
      </c>
      <c r="N17" s="160" t="s">
        <v>59</v>
      </c>
      <c r="O17" s="161"/>
      <c r="P17" s="161"/>
      <c r="Q17" s="161"/>
      <c r="R17" s="161"/>
      <c r="S17" s="161"/>
      <c r="U17" s="107"/>
      <c r="V17" s="107"/>
      <c r="W17" s="107"/>
      <c r="X17" s="27">
        <f t="shared" si="2"/>
        <v>202502</v>
      </c>
      <c r="Y17" s="148">
        <f t="shared" si="3"/>
        <v>5.4529399999999992E-2</v>
      </c>
      <c r="Z17" s="125"/>
      <c r="AA17" s="148">
        <f t="shared" si="4"/>
        <v>7.56582593889637E-2</v>
      </c>
      <c r="AB17" s="107"/>
      <c r="AC17" s="146">
        <f t="shared" si="5"/>
        <v>2.1128859388963708E-2</v>
      </c>
      <c r="AD17" s="107"/>
      <c r="AE17" s="147">
        <f t="shared" si="6"/>
        <v>4.4642869907859987E-4</v>
      </c>
    </row>
    <row r="18" spans="2:40" ht="29.25" customHeight="1">
      <c r="B18" s="27">
        <f>+Portugal_indicadores!A70</f>
        <v>202503</v>
      </c>
      <c r="D18" s="28">
        <f>+Portugal_indicadores!J70</f>
        <v>6.6</v>
      </c>
      <c r="E18" s="29">
        <f>+Portugal_indicadores!H61</f>
        <v>0.4</v>
      </c>
      <c r="F18" s="29">
        <f>+Portugal_indicadores!M67</f>
        <v>2.44</v>
      </c>
      <c r="H18" s="30">
        <f t="shared" si="0"/>
        <v>5.3863699999999994E-2</v>
      </c>
      <c r="I18" s="34"/>
      <c r="J18" s="30">
        <f>+Portugal_indicadores!G70</f>
        <v>7.56582593889637E-2</v>
      </c>
      <c r="L18" s="34">
        <f t="shared" si="1"/>
        <v>2.1794559388963707E-2</v>
      </c>
      <c r="N18" s="166" t="s">
        <v>60</v>
      </c>
      <c r="O18" s="168" t="s">
        <v>44</v>
      </c>
      <c r="P18" s="104" t="s">
        <v>61</v>
      </c>
      <c r="Q18" s="104" t="s">
        <v>63</v>
      </c>
      <c r="R18" s="168" t="s">
        <v>64</v>
      </c>
      <c r="S18" s="170" t="s">
        <v>65</v>
      </c>
      <c r="U18" s="107"/>
      <c r="V18" s="107"/>
      <c r="W18" s="107"/>
      <c r="X18" s="27">
        <f t="shared" si="2"/>
        <v>202503</v>
      </c>
      <c r="Y18" s="148">
        <f t="shared" si="3"/>
        <v>5.3863699999999994E-2</v>
      </c>
      <c r="Z18" s="34"/>
      <c r="AA18" s="148">
        <f t="shared" si="4"/>
        <v>7.56582593889637E-2</v>
      </c>
      <c r="AB18" s="107"/>
      <c r="AC18" s="146">
        <f t="shared" si="5"/>
        <v>2.1794559388963707E-2</v>
      </c>
      <c r="AD18" s="107"/>
      <c r="AE18" s="147">
        <f t="shared" si="6"/>
        <v>4.7500281895906607E-4</v>
      </c>
    </row>
    <row r="19" spans="2:40" ht="25.5" customHeight="1" thickBot="1">
      <c r="B19" s="27">
        <f>+Portugal_indicadores!A71</f>
        <v>202504</v>
      </c>
      <c r="D19" s="28">
        <f>+Portugal_indicadores!J71</f>
        <v>5.9</v>
      </c>
      <c r="E19" s="29">
        <f>+Portugal_indicadores!H62</f>
        <v>0.4</v>
      </c>
      <c r="F19" s="29">
        <f>+Portugal_indicadores!M68</f>
        <v>2.5299999999999998</v>
      </c>
      <c r="H19" s="30">
        <f t="shared" si="0"/>
        <v>5.3032599999999999E-2</v>
      </c>
      <c r="I19" s="34"/>
      <c r="J19" s="30">
        <f>+Portugal_indicadores!G71</f>
        <v>7.56582593889637E-2</v>
      </c>
      <c r="L19" s="34">
        <f t="shared" si="1"/>
        <v>2.2625659388963701E-2</v>
      </c>
      <c r="N19" s="167"/>
      <c r="O19" s="169"/>
      <c r="P19" s="105" t="s">
        <v>62</v>
      </c>
      <c r="Q19" s="105" t="s">
        <v>52</v>
      </c>
      <c r="R19" s="169"/>
      <c r="S19" s="171"/>
      <c r="U19" s="107"/>
      <c r="V19" s="107"/>
      <c r="W19" s="107"/>
      <c r="X19" s="27">
        <f t="shared" si="2"/>
        <v>202504</v>
      </c>
      <c r="Y19" s="148">
        <f t="shared" si="3"/>
        <v>5.3032599999999999E-2</v>
      </c>
      <c r="Z19" s="34"/>
      <c r="AA19" s="148">
        <f t="shared" si="4"/>
        <v>7.56582593889637E-2</v>
      </c>
      <c r="AB19" s="107"/>
      <c r="AC19" s="146">
        <f t="shared" si="5"/>
        <v>2.2625659388963701E-2</v>
      </c>
      <c r="AD19" s="107"/>
      <c r="AE19" s="147">
        <f t="shared" si="6"/>
        <v>5.1192046278540127E-4</v>
      </c>
    </row>
    <row r="20" spans="2:40" ht="25.5" customHeight="1" thickBot="1">
      <c r="B20" s="27">
        <f>+Portugal_indicadores!A72</f>
        <v>202505</v>
      </c>
      <c r="D20" s="28">
        <f>+Portugal_indicadores!J72</f>
        <v>5.9</v>
      </c>
      <c r="E20" s="29">
        <f>+Portugal_indicadores!H63</f>
        <v>0.4</v>
      </c>
      <c r="F20" s="29">
        <f>+Portugal_indicadores!M69</f>
        <v>2.41</v>
      </c>
      <c r="H20" s="30">
        <f t="shared" si="0"/>
        <v>5.1891400000000004E-2</v>
      </c>
      <c r="I20" s="34"/>
      <c r="J20" s="30">
        <f>+Portugal_indicadores!G72</f>
        <v>7.56582593889637E-2</v>
      </c>
      <c r="L20" s="34">
        <f t="shared" si="1"/>
        <v>2.3766859388963696E-2</v>
      </c>
      <c r="N20" s="114" t="s">
        <v>66</v>
      </c>
      <c r="O20" s="109">
        <v>1</v>
      </c>
      <c r="P20" s="109">
        <v>1.491E-2</v>
      </c>
      <c r="Q20" s="109">
        <v>6.0600000000000003E-3</v>
      </c>
      <c r="R20" s="109">
        <v>2.46</v>
      </c>
      <c r="S20" s="115">
        <v>1.7899999999999999E-2</v>
      </c>
      <c r="U20" s="57"/>
      <c r="V20" s="57"/>
      <c r="W20" s="57"/>
      <c r="X20" s="27">
        <f t="shared" si="2"/>
        <v>202505</v>
      </c>
      <c r="Y20" s="148">
        <f t="shared" si="3"/>
        <v>5.1891400000000004E-2</v>
      </c>
      <c r="Z20" s="34"/>
      <c r="AA20" s="148">
        <f t="shared" si="4"/>
        <v>7.56582593889637E-2</v>
      </c>
      <c r="AB20" s="57"/>
      <c r="AC20" s="146">
        <f t="shared" si="5"/>
        <v>2.3766859388963696E-2</v>
      </c>
      <c r="AD20" s="57"/>
      <c r="AE20" s="147">
        <f t="shared" si="6"/>
        <v>5.6486360521477183E-4</v>
      </c>
    </row>
    <row r="21" spans="2:40" ht="16" thickBot="1">
      <c r="B21" s="27">
        <f>+Portugal_indicadores!A73</f>
        <v>202506</v>
      </c>
      <c r="D21" s="28">
        <f>+Portugal_indicadores!J73</f>
        <v>5.9</v>
      </c>
      <c r="E21" s="29">
        <f>+Portugal_indicadores!H64</f>
        <v>0.4</v>
      </c>
      <c r="F21" s="29">
        <f>+Portugal_indicadores!M70</f>
        <v>2.4</v>
      </c>
      <c r="H21" s="30">
        <f t="shared" si="0"/>
        <v>5.1796299999999997E-2</v>
      </c>
      <c r="I21" s="34"/>
      <c r="J21" s="30">
        <f>+Portugal_indicadores!G73</f>
        <v>7.56582593889637E-2</v>
      </c>
      <c r="L21" s="34">
        <f t="shared" si="1"/>
        <v>2.3861959388963704E-2</v>
      </c>
      <c r="N21" s="114" t="s">
        <v>3</v>
      </c>
      <c r="O21" s="109">
        <v>1</v>
      </c>
      <c r="P21" s="109">
        <v>2.4099999999999998E-3</v>
      </c>
      <c r="Q21" s="109">
        <v>9.0295999999999996E-4</v>
      </c>
      <c r="R21" s="109">
        <v>2.67</v>
      </c>
      <c r="S21" s="115">
        <v>1.0500000000000001E-2</v>
      </c>
      <c r="U21" s="57"/>
      <c r="V21" s="57"/>
      <c r="W21" s="57"/>
      <c r="X21" s="27">
        <f t="shared" si="2"/>
        <v>202506</v>
      </c>
      <c r="Y21" s="148">
        <f t="shared" si="3"/>
        <v>5.1796299999999997E-2</v>
      </c>
      <c r="Z21" s="34"/>
      <c r="AA21" s="148">
        <f t="shared" si="4"/>
        <v>7.56582593889637E-2</v>
      </c>
      <c r="AB21" s="57"/>
      <c r="AC21" s="146">
        <f t="shared" si="5"/>
        <v>2.3861959388963704E-2</v>
      </c>
      <c r="AD21" s="57"/>
      <c r="AE21" s="147">
        <f t="shared" si="6"/>
        <v>5.6939310588055309E-4</v>
      </c>
    </row>
    <row r="22" spans="2:40" ht="16" thickBot="1">
      <c r="B22" s="27">
        <f>+Portugal_indicadores!A74</f>
        <v>202507</v>
      </c>
      <c r="D22" s="28">
        <f>+Portugal_indicadores!J74</f>
        <v>5.9</v>
      </c>
      <c r="E22" s="29">
        <f>+Portugal_indicadores!H65</f>
        <v>1.4</v>
      </c>
      <c r="F22" s="29">
        <f>+Portugal_indicadores!M71</f>
        <v>2.14</v>
      </c>
      <c r="H22" s="30">
        <f t="shared" si="0"/>
        <v>4.8931950000000002E-2</v>
      </c>
      <c r="I22" s="34"/>
      <c r="J22" s="30">
        <f>+Portugal_indicadores!G74</f>
        <v>7.56582593889637E-2</v>
      </c>
      <c r="L22" s="34">
        <f t="shared" si="1"/>
        <v>2.6726309388963698E-2</v>
      </c>
      <c r="N22" s="114" t="s">
        <v>84</v>
      </c>
      <c r="O22" s="109">
        <v>1</v>
      </c>
      <c r="P22" s="109">
        <v>-3.9175000000000001E-4</v>
      </c>
      <c r="Q22" s="109">
        <v>9.1700000000000006E-5</v>
      </c>
      <c r="R22" s="109">
        <v>-4.2699999999999996</v>
      </c>
      <c r="S22" s="115" t="s">
        <v>76</v>
      </c>
      <c r="U22" s="57"/>
      <c r="V22" s="57"/>
      <c r="W22" s="57"/>
      <c r="X22" s="27">
        <f t="shared" si="2"/>
        <v>202507</v>
      </c>
      <c r="Y22" s="148">
        <f t="shared" si="3"/>
        <v>4.8931950000000002E-2</v>
      </c>
      <c r="Z22" s="34"/>
      <c r="AA22" s="148">
        <f t="shared" si="4"/>
        <v>7.56582593889637E-2</v>
      </c>
      <c r="AB22" s="57"/>
      <c r="AC22" s="146">
        <f t="shared" si="5"/>
        <v>2.6726309388963698E-2</v>
      </c>
      <c r="AD22" s="57"/>
      <c r="AE22" s="147">
        <f t="shared" si="6"/>
        <v>7.1429561355460913E-4</v>
      </c>
    </row>
    <row r="23" spans="2:40" ht="16" thickBot="1">
      <c r="D23" s="28"/>
      <c r="E23" s="29"/>
      <c r="F23" s="29"/>
      <c r="H23" s="75">
        <f>+AVERAGE(H11:H22)</f>
        <v>5.6905514666666678E-2</v>
      </c>
      <c r="I23" s="75"/>
      <c r="J23" s="75">
        <f>+AVERAGE(J11:J22)</f>
        <v>7.5658259388963686E-2</v>
      </c>
      <c r="L23" s="139">
        <f t="shared" si="1"/>
        <v>1.8752744722297009E-2</v>
      </c>
      <c r="N23" s="112" t="s">
        <v>284</v>
      </c>
      <c r="O23" s="116">
        <v>1</v>
      </c>
      <c r="P23" s="116">
        <v>9.5099999999999994E-3</v>
      </c>
      <c r="Q23" s="116">
        <v>2.6351E-4</v>
      </c>
      <c r="R23" s="116">
        <v>36.08</v>
      </c>
      <c r="S23" s="113" t="s">
        <v>76</v>
      </c>
      <c r="U23" s="57"/>
      <c r="V23" s="57"/>
      <c r="W23" s="57"/>
      <c r="X23" s="57"/>
      <c r="Y23" s="57"/>
      <c r="Z23" s="57"/>
      <c r="AA23" s="57"/>
      <c r="AB23" s="57"/>
      <c r="AC23" s="57"/>
      <c r="AD23" s="57"/>
    </row>
    <row r="24" spans="2:40" ht="16" thickBot="1">
      <c r="N24" s="160" t="s">
        <v>67</v>
      </c>
      <c r="O24" s="161"/>
      <c r="P24" s="161"/>
      <c r="Q24" s="161"/>
      <c r="R24" s="161"/>
      <c r="U24" s="57"/>
      <c r="V24" s="57"/>
      <c r="W24" s="57"/>
      <c r="X24" s="57"/>
      <c r="Y24" s="57"/>
      <c r="Z24" s="57"/>
      <c r="AA24" s="57"/>
      <c r="AB24" s="57"/>
      <c r="AC24" s="57"/>
      <c r="AD24" s="57"/>
    </row>
    <row r="25" spans="2:40" ht="44" thickBot="1">
      <c r="N25" s="120" t="s">
        <v>60</v>
      </c>
      <c r="O25" s="105" t="s">
        <v>66</v>
      </c>
      <c r="P25" s="105" t="s">
        <v>3</v>
      </c>
      <c r="Q25" s="105" t="s">
        <v>84</v>
      </c>
      <c r="R25" s="121" t="s">
        <v>284</v>
      </c>
      <c r="U25" s="57"/>
      <c r="V25" s="57"/>
      <c r="W25" s="57"/>
      <c r="X25" s="57"/>
      <c r="Y25" s="57"/>
      <c r="Z25" s="57"/>
      <c r="AB25" s="57"/>
      <c r="AC25" s="57"/>
      <c r="AD25" s="57"/>
    </row>
    <row r="26" spans="2:40" ht="15.75" customHeight="1" thickBot="1">
      <c r="B26" s="12" t="s">
        <v>32</v>
      </c>
      <c r="C26" s="12"/>
      <c r="D26" s="12"/>
      <c r="E26" s="12"/>
      <c r="F26" s="12"/>
      <c r="G26" s="12"/>
      <c r="H26" s="12"/>
      <c r="I26" s="12"/>
      <c r="J26" s="12"/>
      <c r="K26" s="12"/>
      <c r="N26" s="114" t="s">
        <v>66</v>
      </c>
      <c r="O26" s="109">
        <v>1</v>
      </c>
      <c r="P26" s="109">
        <v>-0.99490000000000001</v>
      </c>
      <c r="Q26" s="109">
        <v>-9.4E-2</v>
      </c>
      <c r="R26" s="115">
        <v>-0.20169999999999999</v>
      </c>
      <c r="T26" s="134"/>
    </row>
    <row r="27" spans="2:40" ht="25.5" customHeight="1" thickBot="1">
      <c r="B27" s="15"/>
      <c r="C27" s="7"/>
      <c r="D27" s="66"/>
      <c r="E27" s="66"/>
      <c r="F27" s="66"/>
      <c r="G27" s="7"/>
      <c r="H27" s="136">
        <f>+AVERAGE(H29:H45)</f>
        <v>4.7226898826352941E-2</v>
      </c>
      <c r="I27" s="40"/>
      <c r="J27" s="40"/>
      <c r="K27" s="40"/>
      <c r="N27" s="114" t="s">
        <v>3</v>
      </c>
      <c r="O27" s="109">
        <v>-0.99490000000000001</v>
      </c>
      <c r="P27" s="109">
        <v>1</v>
      </c>
      <c r="Q27" s="109">
        <v>8.7800000000000003E-2</v>
      </c>
      <c r="R27" s="115">
        <v>0.1459</v>
      </c>
      <c r="T27" s="126"/>
      <c r="AB27" s="57"/>
    </row>
    <row r="28" spans="2:40" ht="58" customHeight="1" thickBot="1">
      <c r="B28" s="21" t="s">
        <v>30</v>
      </c>
      <c r="C28" s="47" t="s">
        <v>31</v>
      </c>
      <c r="D28" s="48" t="str">
        <f>+D10</f>
        <v>Unemployment_Rate</v>
      </c>
      <c r="E28" s="48" t="str">
        <f>+E10</f>
        <v>GDP_9</v>
      </c>
      <c r="F28" s="48" t="str">
        <f>+F10</f>
        <v>Euribor1year_3</v>
      </c>
      <c r="G28" s="7"/>
      <c r="H28" s="18" t="s">
        <v>85</v>
      </c>
      <c r="J28" s="22"/>
      <c r="N28" s="114" t="s">
        <v>84</v>
      </c>
      <c r="O28" s="109">
        <v>-9.4E-2</v>
      </c>
      <c r="P28" s="109">
        <v>8.7800000000000003E-2</v>
      </c>
      <c r="Q28" s="109">
        <v>1</v>
      </c>
      <c r="R28" s="115">
        <v>-1.12E-2</v>
      </c>
      <c r="T28" s="115"/>
    </row>
    <row r="29" spans="2:40" ht="15.75" customHeight="1" thickBot="1">
      <c r="B29" s="27">
        <f>+Portugal_indicadores!A75</f>
        <v>202508</v>
      </c>
      <c r="C29" s="23"/>
      <c r="D29" s="28">
        <f>+Portugal_indicadores!T23</f>
        <v>6.2564355999999997</v>
      </c>
      <c r="E29" s="29">
        <f>+Portugal_indicadores!R14</f>
        <v>1.4</v>
      </c>
      <c r="F29" s="29">
        <f>+Portugal_indicadores!W20</f>
        <v>1.956</v>
      </c>
      <c r="G29" s="24"/>
      <c r="H29" s="30">
        <f t="shared" ref="H29:H45" si="7">+$C$4+D29*$D$4+E29*$E$4+F29*$F$4</f>
        <v>4.8041119795999995E-2</v>
      </c>
      <c r="J29" s="33"/>
      <c r="K29" s="31"/>
      <c r="N29" s="112" t="s">
        <v>284</v>
      </c>
      <c r="O29" s="116">
        <v>-0.20169999999999999</v>
      </c>
      <c r="P29" s="116">
        <v>0.1459</v>
      </c>
      <c r="Q29" s="116">
        <v>-1.12E-2</v>
      </c>
      <c r="R29" s="113">
        <v>1</v>
      </c>
      <c r="T29" s="115"/>
    </row>
    <row r="30" spans="2:40" ht="30.75" customHeight="1" thickBot="1">
      <c r="B30" s="27">
        <f>+Portugal_indicadores!A76</f>
        <v>202509</v>
      </c>
      <c r="C30" s="23"/>
      <c r="D30" s="28">
        <f>+Portugal_indicadores!T24</f>
        <v>6.2564355999999997</v>
      </c>
      <c r="E30" s="29">
        <f>+Portugal_indicadores!R15</f>
        <v>1.4</v>
      </c>
      <c r="F30" s="29">
        <f>+Portugal_indicadores!W21</f>
        <v>1.8859999999999999</v>
      </c>
      <c r="G30" s="24"/>
      <c r="H30" s="30">
        <f t="shared" si="7"/>
        <v>4.7375419795999997E-2</v>
      </c>
      <c r="J30" s="33"/>
      <c r="K30" s="31"/>
      <c r="N30" s="165" t="s">
        <v>285</v>
      </c>
      <c r="O30" s="165"/>
      <c r="P30" s="165"/>
      <c r="Q30" s="165"/>
      <c r="R30" s="165"/>
      <c r="S30" s="165"/>
      <c r="T30" s="115"/>
      <c r="AL30" s="182"/>
      <c r="AM30" s="182" t="s">
        <v>302</v>
      </c>
      <c r="AN30" s="182" t="s">
        <v>303</v>
      </c>
    </row>
    <row r="31" spans="2:40" ht="16" thickBot="1">
      <c r="B31" s="27">
        <f>+Portugal_indicadores!A77</f>
        <v>202510</v>
      </c>
      <c r="C31" s="23"/>
      <c r="D31" s="28">
        <f>+Portugal_indicadores!T25</f>
        <v>6.2095871999999996</v>
      </c>
      <c r="E31" s="29">
        <f>+Portugal_indicadores!R16</f>
        <v>-0.4</v>
      </c>
      <c r="F31" s="29">
        <f>+Portugal_indicadores!W22</f>
        <v>1.8939999999999999</v>
      </c>
      <c r="G31" s="24"/>
      <c r="H31" s="30">
        <f t="shared" si="7"/>
        <v>4.8043745151999995E-2</v>
      </c>
      <c r="J31" s="33"/>
      <c r="K31" s="31"/>
      <c r="T31" s="115"/>
      <c r="AL31" s="182" t="s">
        <v>0</v>
      </c>
      <c r="AM31" s="182"/>
      <c r="AN31" s="182"/>
    </row>
    <row r="32" spans="2:40" ht="39.75" customHeight="1" thickBot="1">
      <c r="B32" s="27">
        <f>+Portugal_indicadores!A78</f>
        <v>202511</v>
      </c>
      <c r="C32" s="23"/>
      <c r="D32" s="28">
        <f>+Portugal_indicadores!T26</f>
        <v>6.2095871999999996</v>
      </c>
      <c r="E32" s="29">
        <f>+Portugal_indicadores!R17</f>
        <v>-0.4</v>
      </c>
      <c r="F32" s="29">
        <f>+Portugal_indicadores!W23</f>
        <v>1.9079999999999999</v>
      </c>
      <c r="G32" s="24"/>
      <c r="H32" s="30">
        <f t="shared" si="7"/>
        <v>4.8176885151999999E-2</v>
      </c>
      <c r="J32" s="33"/>
      <c r="K32" s="31"/>
      <c r="N32" s="162" t="s">
        <v>37</v>
      </c>
      <c r="O32" s="162"/>
      <c r="P32" s="162"/>
      <c r="T32" s="115"/>
      <c r="AL32" s="183">
        <v>45413</v>
      </c>
      <c r="AM32" s="188">
        <v>7.3365E-2</v>
      </c>
      <c r="AN32" s="188">
        <v>7.7631000000000006E-2</v>
      </c>
    </row>
    <row r="33" spans="2:57" ht="18" customHeight="1">
      <c r="B33" s="27">
        <f>+Portugal_indicadores!A79</f>
        <v>202512</v>
      </c>
      <c r="C33" s="25"/>
      <c r="D33" s="28">
        <f>+Portugal_indicadores!T27</f>
        <v>6.2095871999999996</v>
      </c>
      <c r="E33" s="29">
        <f>+Portugal_indicadores!R18</f>
        <v>-0.4</v>
      </c>
      <c r="F33" s="29">
        <f>+Portugal_indicadores!W24</f>
        <v>1.867</v>
      </c>
      <c r="G33" s="24"/>
      <c r="H33" s="30">
        <f t="shared" si="7"/>
        <v>4.7786975151999991E-2</v>
      </c>
      <c r="J33" s="31"/>
      <c r="K33" s="31"/>
      <c r="N33" s="163" t="s">
        <v>38</v>
      </c>
      <c r="O33" s="163"/>
      <c r="P33" s="163"/>
      <c r="T33" s="113"/>
      <c r="AL33" s="183">
        <v>45444</v>
      </c>
      <c r="AM33" s="188">
        <v>7.4709999999999999E-2</v>
      </c>
      <c r="AN33" s="188">
        <v>7.8007000000000007E-2</v>
      </c>
    </row>
    <row r="34" spans="2:57" ht="31.5" customHeight="1">
      <c r="B34" s="27">
        <f>+Portugal_indicadores!A80</f>
        <v>202601</v>
      </c>
      <c r="C34" s="25"/>
      <c r="D34" s="28">
        <f>+Portugal_indicadores!T28</f>
        <v>6.4</v>
      </c>
      <c r="E34" s="29">
        <f>+Portugal_indicadores!R19</f>
        <v>0.6</v>
      </c>
      <c r="F34" s="29">
        <f>+Portugal_indicadores!W25</f>
        <v>1.8440000000000001</v>
      </c>
      <c r="G34" s="24"/>
      <c r="H34" s="30">
        <f t="shared" si="7"/>
        <v>4.763539E-2</v>
      </c>
      <c r="J34" s="33"/>
      <c r="K34" s="31"/>
      <c r="N34" s="163" t="s">
        <v>39</v>
      </c>
      <c r="O34" s="163"/>
      <c r="P34" s="163"/>
      <c r="T34" s="131"/>
      <c r="AL34" s="183">
        <v>45474</v>
      </c>
      <c r="AM34" s="188">
        <v>7.2452000000000003E-2</v>
      </c>
      <c r="AN34" s="188">
        <v>7.7371999999999996E-2</v>
      </c>
      <c r="AS34" s="18" t="s">
        <v>131</v>
      </c>
      <c r="AT34" s="19"/>
      <c r="AU34" s="18" t="s">
        <v>132</v>
      </c>
      <c r="AW34" s="18" t="s">
        <v>290</v>
      </c>
      <c r="AY34" s="18" t="s">
        <v>291</v>
      </c>
      <c r="BA34" s="18" t="s">
        <v>292</v>
      </c>
      <c r="BC34" s="18" t="s">
        <v>288</v>
      </c>
      <c r="BE34" s="18" t="s">
        <v>289</v>
      </c>
    </row>
    <row r="35" spans="2:57" ht="30.75" customHeight="1" thickBot="1">
      <c r="B35" s="27">
        <f>+Portugal_indicadores!A81</f>
        <v>202602</v>
      </c>
      <c r="C35" s="25"/>
      <c r="D35" s="28">
        <f>+Portugal_indicadores!T29</f>
        <v>6.4</v>
      </c>
      <c r="E35" s="29">
        <f>+Portugal_indicadores!R20</f>
        <v>0.6</v>
      </c>
      <c r="F35" s="29">
        <f>+Portugal_indicadores!W26</f>
        <v>1.875</v>
      </c>
      <c r="G35" s="24"/>
      <c r="H35" s="30">
        <f t="shared" si="7"/>
        <v>4.7930199999999999E-2</v>
      </c>
      <c r="J35" s="33"/>
      <c r="K35" s="31"/>
      <c r="N35" s="163" t="s">
        <v>281</v>
      </c>
      <c r="O35" s="163"/>
      <c r="P35" s="163"/>
      <c r="AL35" s="183">
        <v>45505</v>
      </c>
      <c r="AM35" s="189">
        <v>7.2553000000000006E-2</v>
      </c>
      <c r="AN35" s="189">
        <v>7.5149999999999995E-2</v>
      </c>
      <c r="AR35" s="27">
        <f>B11</f>
        <v>202408</v>
      </c>
      <c r="AS35" s="148">
        <f>AN35</f>
        <v>7.5149999999999995E-2</v>
      </c>
      <c r="AT35" s="124"/>
      <c r="AU35" s="148">
        <f>AM35</f>
        <v>7.2553000000000006E-2</v>
      </c>
      <c r="AV35" s="50"/>
      <c r="AW35" s="146">
        <f>AU35-AS35</f>
        <v>-2.5969999999999882E-3</v>
      </c>
      <c r="AY35" s="147">
        <f>POWER(AW35,2)</f>
        <v>6.7444089999999388E-6</v>
      </c>
      <c r="BA35" s="147">
        <f>SUM(AY35:AY50)</f>
        <v>5.7125719200000035E-4</v>
      </c>
      <c r="BC35" s="192">
        <f>(1/COUNT(AR35:AR49))*BA35</f>
        <v>4.7604766000000029E-5</v>
      </c>
      <c r="BE35" s="151">
        <f>SQRT(BC35)</f>
        <v>6.8996207142132115E-3</v>
      </c>
    </row>
    <row r="36" spans="2:57" ht="39.75" customHeight="1">
      <c r="B36" s="27">
        <f>+Portugal_indicadores!A82</f>
        <v>202603</v>
      </c>
      <c r="C36" s="25"/>
      <c r="D36" s="28">
        <f>+Portugal_indicadores!T30</f>
        <v>6.4</v>
      </c>
      <c r="E36" s="29">
        <f>+Portugal_indicadores!R21</f>
        <v>0.6</v>
      </c>
      <c r="F36" s="29">
        <f>+Portugal_indicadores!W27</f>
        <v>1.7629999999999999</v>
      </c>
      <c r="G36" s="24"/>
      <c r="H36" s="30">
        <f t="shared" si="7"/>
        <v>4.6865079999999996E-2</v>
      </c>
      <c r="J36" s="33"/>
      <c r="K36" s="31"/>
      <c r="N36" s="172" t="s">
        <v>68</v>
      </c>
      <c r="O36" s="173"/>
      <c r="P36" s="173"/>
      <c r="AL36" s="183">
        <v>45536</v>
      </c>
      <c r="AM36" s="189">
        <v>6.9115999999999997E-2</v>
      </c>
      <c r="AN36" s="189">
        <v>7.1690000000000004E-2</v>
      </c>
      <c r="AR36" s="27">
        <f t="shared" ref="AR36:AR49" si="8">B12</f>
        <v>202409</v>
      </c>
      <c r="AS36" s="148">
        <f t="shared" ref="AS36:AS46" si="9">AN36</f>
        <v>7.1690000000000004E-2</v>
      </c>
      <c r="AT36" s="124"/>
      <c r="AU36" s="148">
        <f>AM36</f>
        <v>6.9115999999999997E-2</v>
      </c>
      <c r="AW36" s="146">
        <f t="shared" ref="AW36:AW49" si="10">AU36-AS36</f>
        <v>-2.5740000000000068E-3</v>
      </c>
      <c r="AY36" s="147">
        <f>POWER(AW36,2)</f>
        <v>6.6254760000000353E-6</v>
      </c>
      <c r="BE36" s="150"/>
    </row>
    <row r="37" spans="2:57" ht="17" thickBot="1">
      <c r="B37" s="27">
        <f>+Portugal_indicadores!A83</f>
        <v>202604</v>
      </c>
      <c r="C37" s="25"/>
      <c r="D37" s="28">
        <f>+Portugal_indicadores!T31</f>
        <v>6.4</v>
      </c>
      <c r="E37" s="29">
        <f>+Portugal_indicadores!R22</f>
        <v>1.85</v>
      </c>
      <c r="F37" s="29">
        <f>+Portugal_indicadores!W28</f>
        <v>2.097</v>
      </c>
      <c r="G37" s="24"/>
      <c r="H37" s="30">
        <f t="shared" si="7"/>
        <v>4.9551732500000001E-2</v>
      </c>
      <c r="J37" s="33"/>
      <c r="K37" s="31"/>
      <c r="N37" s="174" t="s">
        <v>69</v>
      </c>
      <c r="O37" s="175"/>
      <c r="P37" s="175"/>
      <c r="AL37" s="183">
        <v>45566</v>
      </c>
      <c r="AM37" s="189">
        <v>6.4833000000000002E-2</v>
      </c>
      <c r="AN37" s="189">
        <v>7.0652000000000006E-2</v>
      </c>
      <c r="AR37" s="27">
        <f t="shared" si="8"/>
        <v>202410</v>
      </c>
      <c r="AS37" s="148">
        <f t="shared" si="9"/>
        <v>7.0652000000000006E-2</v>
      </c>
      <c r="AT37" s="124"/>
      <c r="AU37" s="148">
        <f t="shared" ref="AU36:AU46" si="11">AM37</f>
        <v>6.4833000000000002E-2</v>
      </c>
      <c r="AW37" s="146">
        <f t="shared" si="10"/>
        <v>-5.8190000000000047E-3</v>
      </c>
      <c r="AY37" s="147">
        <f>POWER(AW37,2)</f>
        <v>3.3860761000000054E-5</v>
      </c>
      <c r="BE37" s="149">
        <f>0.0061/AU37</f>
        <v>9.408788734132309E-2</v>
      </c>
    </row>
    <row r="38" spans="2:57" ht="30.75" customHeight="1" thickBot="1">
      <c r="B38" s="27">
        <f>+Portugal_indicadores!A84</f>
        <v>202605</v>
      </c>
      <c r="C38" s="26"/>
      <c r="D38" s="28">
        <f>+Portugal_indicadores!T32</f>
        <v>6.4</v>
      </c>
      <c r="E38" s="29">
        <f>+Portugal_indicadores!R23</f>
        <v>1.85</v>
      </c>
      <c r="F38" s="29">
        <f>+Portugal_indicadores!W29</f>
        <v>1.9710000000000001</v>
      </c>
      <c r="G38" s="24"/>
      <c r="H38" s="30">
        <f t="shared" si="7"/>
        <v>4.8353472500000001E-2</v>
      </c>
      <c r="J38" s="31"/>
      <c r="K38" s="31"/>
      <c r="N38" s="122" t="s">
        <v>44</v>
      </c>
      <c r="O38" s="105" t="s">
        <v>70</v>
      </c>
      <c r="P38" s="121" t="s">
        <v>71</v>
      </c>
      <c r="AL38" s="183">
        <v>45597</v>
      </c>
      <c r="AM38" s="189">
        <v>6.1169000000000001E-2</v>
      </c>
      <c r="AN38" s="189">
        <v>6.8444000000000005E-2</v>
      </c>
      <c r="AR38" s="27">
        <f t="shared" si="8"/>
        <v>202411</v>
      </c>
      <c r="AS38" s="148">
        <f t="shared" si="9"/>
        <v>6.8444000000000005E-2</v>
      </c>
      <c r="AT38" s="124"/>
      <c r="AU38" s="148">
        <f t="shared" si="11"/>
        <v>6.1169000000000001E-2</v>
      </c>
      <c r="AW38" s="146">
        <f t="shared" si="10"/>
        <v>-7.2750000000000037E-3</v>
      </c>
      <c r="AY38" s="147">
        <f>POWER(AW38,2)</f>
        <v>5.2925625000000056E-5</v>
      </c>
    </row>
    <row r="39" spans="2:57" ht="30.75" customHeight="1" thickBot="1">
      <c r="B39" s="27">
        <f>+Portugal_indicadores!A85</f>
        <v>202606</v>
      </c>
      <c r="C39" s="32"/>
      <c r="D39" s="28">
        <f>+Portugal_indicadores!T33</f>
        <v>6.4</v>
      </c>
      <c r="E39" s="29">
        <f>+Portugal_indicadores!R24</f>
        <v>1.85</v>
      </c>
      <c r="F39" s="29">
        <f>+Portugal_indicadores!W30</f>
        <v>1.899</v>
      </c>
      <c r="G39" s="24"/>
      <c r="H39" s="30">
        <f t="shared" si="7"/>
        <v>4.7668752499999995E-2</v>
      </c>
      <c r="J39" s="33"/>
      <c r="K39" s="31"/>
      <c r="N39" s="123">
        <v>9</v>
      </c>
      <c r="O39" s="116">
        <v>13.77</v>
      </c>
      <c r="P39" s="113">
        <v>0.13089999999999999</v>
      </c>
      <c r="AL39" s="183">
        <v>45627</v>
      </c>
      <c r="AM39" s="189">
        <v>5.8174999999999998E-2</v>
      </c>
      <c r="AN39" s="189">
        <v>6.6635E-2</v>
      </c>
      <c r="AR39" s="27">
        <f t="shared" si="8"/>
        <v>202412</v>
      </c>
      <c r="AS39" s="148">
        <f t="shared" si="9"/>
        <v>6.6635E-2</v>
      </c>
      <c r="AT39" s="125"/>
      <c r="AU39" s="148">
        <f t="shared" si="11"/>
        <v>5.8174999999999998E-2</v>
      </c>
      <c r="AW39" s="146">
        <f t="shared" si="10"/>
        <v>-8.4600000000000022E-3</v>
      </c>
      <c r="AY39" s="147">
        <f>POWER(AW39,2)</f>
        <v>7.1571600000000038E-5</v>
      </c>
    </row>
    <row r="40" spans="2:57" ht="15" customHeight="1" thickBot="1">
      <c r="B40" s="27">
        <f>+Portugal_indicadores!A86</f>
        <v>202607</v>
      </c>
      <c r="C40" s="32"/>
      <c r="D40" s="28">
        <f>+Portugal_indicadores!T34</f>
        <v>6.4</v>
      </c>
      <c r="E40" s="29">
        <f>+Portugal_indicadores!R25</f>
        <v>1.78</v>
      </c>
      <c r="F40" s="29">
        <f>+Portugal_indicadores!W31</f>
        <v>1.8049999999999999</v>
      </c>
      <c r="G40" s="24"/>
      <c r="H40" s="30">
        <f t="shared" si="7"/>
        <v>4.6802234999999998E-2</v>
      </c>
      <c r="J40" s="33"/>
      <c r="K40" s="31"/>
      <c r="N40" s="110" t="s">
        <v>72</v>
      </c>
      <c r="O40" s="111">
        <v>0.53900000000000003</v>
      </c>
      <c r="AL40" s="183">
        <v>45658</v>
      </c>
      <c r="AM40" s="189">
        <v>6.0101000000000002E-2</v>
      </c>
      <c r="AN40" s="189">
        <v>6.7970000000000003E-2</v>
      </c>
      <c r="AR40" s="27">
        <f t="shared" si="8"/>
        <v>202501</v>
      </c>
      <c r="AS40" s="148">
        <f t="shared" si="9"/>
        <v>6.7970000000000003E-2</v>
      </c>
      <c r="AT40" s="125"/>
      <c r="AU40" s="148">
        <f t="shared" si="11"/>
        <v>6.0101000000000002E-2</v>
      </c>
      <c r="AV40" s="107"/>
      <c r="AW40" s="146">
        <f t="shared" si="10"/>
        <v>-7.869000000000001E-3</v>
      </c>
      <c r="AX40" s="107"/>
      <c r="AY40" s="147">
        <f t="shared" ref="AY36:AY49" si="12">POWER(AW40,2)</f>
        <v>6.1921161000000013E-5</v>
      </c>
    </row>
    <row r="41" spans="2:57" ht="16" thickBot="1">
      <c r="B41" s="27">
        <f>+Portugal_indicadores!A87</f>
        <v>202608</v>
      </c>
      <c r="C41" s="32"/>
      <c r="D41" s="28">
        <f>+Portugal_indicadores!T35</f>
        <v>6.4</v>
      </c>
      <c r="E41" s="29">
        <f>+Portugal_indicadores!R26</f>
        <v>1.78</v>
      </c>
      <c r="F41" s="29">
        <f>+Portugal_indicadores!W32</f>
        <v>1.7929999999999999</v>
      </c>
      <c r="G41" s="24"/>
      <c r="H41" s="30">
        <f t="shared" si="7"/>
        <v>4.6688115000000002E-2</v>
      </c>
      <c r="J41" s="33"/>
      <c r="K41" s="31"/>
      <c r="N41" s="114" t="s">
        <v>73</v>
      </c>
      <c r="O41" s="115">
        <v>49</v>
      </c>
      <c r="AL41" s="183">
        <v>45689</v>
      </c>
      <c r="AM41" s="189">
        <v>5.6903000000000002E-2</v>
      </c>
      <c r="AN41" s="189">
        <v>6.6605999999999999E-2</v>
      </c>
      <c r="AR41" s="27">
        <f t="shared" si="8"/>
        <v>202502</v>
      </c>
      <c r="AS41" s="148">
        <f t="shared" si="9"/>
        <v>6.6605999999999999E-2</v>
      </c>
      <c r="AT41" s="125"/>
      <c r="AU41" s="148">
        <f t="shared" si="11"/>
        <v>5.6903000000000002E-2</v>
      </c>
      <c r="AV41" s="107"/>
      <c r="AW41" s="146">
        <f t="shared" si="10"/>
        <v>-9.7029999999999964E-3</v>
      </c>
      <c r="AX41" s="107"/>
      <c r="AY41" s="147">
        <f t="shared" si="12"/>
        <v>9.4148208999999931E-5</v>
      </c>
    </row>
    <row r="42" spans="2:57" ht="14.5" customHeight="1">
      <c r="B42" s="27">
        <f>+Portugal_indicadores!A88</f>
        <v>202609</v>
      </c>
      <c r="C42" s="32"/>
      <c r="D42" s="28">
        <f>+Portugal_indicadores!T36</f>
        <v>6.4</v>
      </c>
      <c r="E42" s="29">
        <f>+Portugal_indicadores!R27</f>
        <v>1.78</v>
      </c>
      <c r="F42" s="29">
        <f>+Portugal_indicadores!W33</f>
        <v>1.788</v>
      </c>
      <c r="G42" s="24"/>
      <c r="H42" s="30">
        <f t="shared" si="7"/>
        <v>4.6640564999999995E-2</v>
      </c>
      <c r="J42" s="33"/>
      <c r="K42" s="31"/>
      <c r="N42" s="112" t="s">
        <v>74</v>
      </c>
      <c r="O42" s="113">
        <v>0.70799999999999996</v>
      </c>
      <c r="U42" s="107"/>
      <c r="V42" s="107"/>
      <c r="AL42" s="183">
        <v>45717</v>
      </c>
      <c r="AM42" s="189">
        <v>5.4384000000000002E-2</v>
      </c>
      <c r="AN42" s="189">
        <v>6.7085000000000006E-2</v>
      </c>
      <c r="AR42" s="27">
        <f t="shared" si="8"/>
        <v>202503</v>
      </c>
      <c r="AS42" s="148">
        <f t="shared" si="9"/>
        <v>6.7085000000000006E-2</v>
      </c>
      <c r="AT42" s="34"/>
      <c r="AU42" s="148">
        <f t="shared" si="11"/>
        <v>5.4384000000000002E-2</v>
      </c>
      <c r="AV42" s="107"/>
      <c r="AW42" s="146">
        <f t="shared" si="10"/>
        <v>-1.2701000000000004E-2</v>
      </c>
      <c r="AX42" s="107"/>
      <c r="AY42" s="147">
        <f t="shared" si="12"/>
        <v>1.6131540100000009E-4</v>
      </c>
    </row>
    <row r="43" spans="2:57" ht="51" customHeight="1" thickBot="1">
      <c r="B43" s="27">
        <f>+Portugal_indicadores!A89</f>
        <v>202610</v>
      </c>
      <c r="D43" s="28">
        <f>+Portugal_indicadores!T37</f>
        <v>6.4</v>
      </c>
      <c r="E43" s="29">
        <f>+Portugal_indicadores!R28</f>
        <v>1.79</v>
      </c>
      <c r="F43" s="29">
        <f>+Portugal_indicadores!W34</f>
        <v>1.728</v>
      </c>
      <c r="G43" s="24"/>
      <c r="H43" s="30">
        <f t="shared" si="7"/>
        <v>4.6066047499999999E-2</v>
      </c>
      <c r="N43" s="165" t="s">
        <v>285</v>
      </c>
      <c r="O43" s="165"/>
      <c r="P43" s="165"/>
      <c r="U43" s="107"/>
      <c r="V43" s="107"/>
      <c r="AL43" s="183">
        <v>45748</v>
      </c>
      <c r="AM43" s="189">
        <v>5.6576000000000001E-2</v>
      </c>
      <c r="AN43" s="189">
        <v>6.0631999999999998E-2</v>
      </c>
      <c r="AR43" s="27">
        <f t="shared" si="8"/>
        <v>202504</v>
      </c>
      <c r="AS43" s="148">
        <f t="shared" si="9"/>
        <v>6.0631999999999998E-2</v>
      </c>
      <c r="AT43" s="34"/>
      <c r="AU43" s="148">
        <f t="shared" si="11"/>
        <v>5.6576000000000001E-2</v>
      </c>
      <c r="AV43" s="107"/>
      <c r="AW43" s="146">
        <f t="shared" si="10"/>
        <v>-4.0559999999999971E-3</v>
      </c>
      <c r="AX43" s="107"/>
      <c r="AY43" s="147">
        <f>POWER(AW43,2)</f>
        <v>1.6451135999999977E-5</v>
      </c>
    </row>
    <row r="44" spans="2:57" ht="18" customHeight="1" thickBot="1">
      <c r="B44" s="27">
        <f>+Portugal_indicadores!A90</f>
        <v>202611</v>
      </c>
      <c r="C44" s="60"/>
      <c r="D44" s="28">
        <f>+Portugal_indicadores!T38</f>
        <v>6.4</v>
      </c>
      <c r="E44" s="29">
        <f>+Portugal_indicadores!R29</f>
        <v>1.79</v>
      </c>
      <c r="F44" s="29">
        <f>+Portugal_indicadores!W35</f>
        <v>1.6240000000000001</v>
      </c>
      <c r="G44" s="24"/>
      <c r="H44" s="30">
        <f t="shared" si="7"/>
        <v>4.5077007500000002E-2</v>
      </c>
      <c r="N44" s="110"/>
      <c r="O44" s="111"/>
      <c r="U44" s="83"/>
      <c r="V44" s="83"/>
      <c r="AL44" s="183">
        <v>45778</v>
      </c>
      <c r="AM44" s="189">
        <v>6.0178000000000002E-2</v>
      </c>
      <c r="AN44" s="189">
        <v>6.0116000000000003E-2</v>
      </c>
      <c r="AR44" s="27">
        <f t="shared" si="8"/>
        <v>202505</v>
      </c>
      <c r="AS44" s="190">
        <f t="shared" si="9"/>
        <v>6.0116000000000003E-2</v>
      </c>
      <c r="AT44" s="34"/>
      <c r="AU44" s="190">
        <f t="shared" si="11"/>
        <v>6.0178000000000002E-2</v>
      </c>
      <c r="AV44" s="57"/>
      <c r="AW44" s="147">
        <f t="shared" si="10"/>
        <v>6.1999999999999555E-5</v>
      </c>
      <c r="AX44" s="57"/>
      <c r="AY44" s="191">
        <f t="shared" si="12"/>
        <v>3.843999999999945E-9</v>
      </c>
    </row>
    <row r="45" spans="2:57" ht="15.75" customHeight="1" thickBot="1">
      <c r="B45" s="27">
        <f>+Portugal_indicadores!A91</f>
        <v>202612</v>
      </c>
      <c r="C45" s="25"/>
      <c r="D45" s="28">
        <f>+Portugal_indicadores!T39</f>
        <v>6.4</v>
      </c>
      <c r="E45" s="29">
        <f>+Portugal_indicadores!R30</f>
        <v>1.79</v>
      </c>
      <c r="F45" s="29">
        <f>+Portugal_indicadores!W36</f>
        <v>1.5269999999999999</v>
      </c>
      <c r="G45" s="24"/>
      <c r="H45" s="30">
        <f t="shared" si="7"/>
        <v>4.41545375E-2</v>
      </c>
      <c r="N45" s="114"/>
      <c r="O45" s="115"/>
      <c r="U45" s="57"/>
      <c r="V45" s="57"/>
      <c r="AL45" s="183">
        <v>45809</v>
      </c>
      <c r="AM45" s="189">
        <v>5.6180000000000001E-2</v>
      </c>
      <c r="AN45" s="189">
        <v>5.9178000000000001E-2</v>
      </c>
      <c r="AR45" s="27">
        <f t="shared" si="8"/>
        <v>202506</v>
      </c>
      <c r="AS45" s="148">
        <f t="shared" si="9"/>
        <v>5.9178000000000001E-2</v>
      </c>
      <c r="AT45" s="34"/>
      <c r="AU45" s="148">
        <f t="shared" si="11"/>
        <v>5.6180000000000001E-2</v>
      </c>
      <c r="AV45" s="57"/>
      <c r="AW45" s="146">
        <f t="shared" si="10"/>
        <v>-2.9980000000000007E-3</v>
      </c>
      <c r="AX45" s="57"/>
      <c r="AY45" s="147">
        <f t="shared" si="12"/>
        <v>8.9880040000000037E-6</v>
      </c>
    </row>
    <row r="46" spans="2:57" ht="15.75" customHeight="1">
      <c r="B46" s="61"/>
      <c r="C46" s="25"/>
      <c r="D46" s="62"/>
      <c r="E46" s="62"/>
      <c r="F46" s="62"/>
      <c r="G46" s="24"/>
      <c r="H46" s="63"/>
      <c r="N46" s="112"/>
      <c r="O46" s="113"/>
      <c r="U46" s="57"/>
      <c r="V46" s="57"/>
      <c r="AL46" s="183">
        <v>45839</v>
      </c>
      <c r="AM46" s="189">
        <v>5.6816999999999999E-2</v>
      </c>
      <c r="AN46" s="189">
        <v>5.8667999999999998E-2</v>
      </c>
      <c r="AR46" s="27">
        <f t="shared" si="8"/>
        <v>202507</v>
      </c>
      <c r="AS46" s="148">
        <f>AN46</f>
        <v>5.8667999999999998E-2</v>
      </c>
      <c r="AT46" s="34"/>
      <c r="AU46" s="148">
        <f t="shared" si="11"/>
        <v>5.6816999999999999E-2</v>
      </c>
      <c r="AV46" s="57"/>
      <c r="AW46" s="146">
        <f t="shared" si="10"/>
        <v>-1.8509999999999985E-3</v>
      </c>
      <c r="AX46" s="57"/>
      <c r="AY46" s="147">
        <f t="shared" si="12"/>
        <v>3.4262009999999942E-6</v>
      </c>
    </row>
    <row r="47" spans="2:57" ht="24" customHeight="1">
      <c r="B47" s="61"/>
      <c r="C47" s="25"/>
      <c r="D47" s="62"/>
      <c r="E47" s="62"/>
      <c r="F47" s="62"/>
      <c r="G47" s="24"/>
      <c r="H47" s="63"/>
      <c r="N47" s="131"/>
      <c r="O47" s="131"/>
      <c r="P47" s="131"/>
      <c r="U47" s="57"/>
      <c r="V47" s="57"/>
      <c r="AR47" s="27" t="s">
        <v>304</v>
      </c>
      <c r="AS47" s="148">
        <f>AN32</f>
        <v>7.7631000000000006E-2</v>
      </c>
      <c r="AU47" s="148">
        <f>AM32</f>
        <v>7.3365E-2</v>
      </c>
      <c r="AW47" s="146">
        <f t="shared" si="10"/>
        <v>-4.2660000000000059E-3</v>
      </c>
      <c r="AY47" s="147">
        <f t="shared" si="12"/>
        <v>1.819875600000005E-5</v>
      </c>
    </row>
    <row r="48" spans="2:57">
      <c r="B48" s="61"/>
      <c r="C48" s="25"/>
      <c r="D48" s="62"/>
      <c r="E48" s="62"/>
      <c r="F48" s="62"/>
      <c r="G48" s="24"/>
      <c r="H48" s="63"/>
      <c r="N48" s="57"/>
      <c r="O48" s="57"/>
      <c r="P48" s="57"/>
      <c r="Q48" s="57"/>
      <c r="R48" s="57"/>
      <c r="S48" s="57"/>
      <c r="T48" s="57"/>
      <c r="U48" s="57"/>
      <c r="V48" s="57"/>
      <c r="AR48" s="27" t="s">
        <v>304</v>
      </c>
      <c r="AS48" s="148">
        <f>AN33</f>
        <v>7.8007000000000007E-2</v>
      </c>
      <c r="AU48" s="148">
        <f t="shared" ref="AU48:AU49" si="13">AM33</f>
        <v>7.4709999999999999E-2</v>
      </c>
      <c r="AW48" s="146">
        <f t="shared" si="10"/>
        <v>-3.2970000000000083E-3</v>
      </c>
      <c r="AY48" s="147">
        <f t="shared" si="12"/>
        <v>1.0870209000000055E-5</v>
      </c>
    </row>
    <row r="49" spans="2:51">
      <c r="B49" s="61"/>
      <c r="D49" s="62"/>
      <c r="E49" s="62"/>
      <c r="F49" s="62"/>
      <c r="H49" s="63"/>
      <c r="N49" s="57"/>
      <c r="O49" s="57"/>
      <c r="P49" s="57"/>
      <c r="Q49" s="57"/>
      <c r="R49" s="57"/>
      <c r="S49" s="57"/>
      <c r="T49" s="57"/>
      <c r="U49" s="57"/>
      <c r="V49" s="57"/>
      <c r="AR49" s="27" t="s">
        <v>304</v>
      </c>
      <c r="AS49" s="148">
        <f>AN34</f>
        <v>7.7371999999999996E-2</v>
      </c>
      <c r="AU49" s="148">
        <f t="shared" si="13"/>
        <v>7.2452000000000003E-2</v>
      </c>
      <c r="AW49" s="146">
        <f t="shared" si="10"/>
        <v>-4.9199999999999938E-3</v>
      </c>
      <c r="AY49" s="147">
        <f t="shared" si="12"/>
        <v>2.4206399999999938E-5</v>
      </c>
    </row>
    <row r="50" spans="2:51" ht="15" customHeight="1">
      <c r="N50" s="57"/>
      <c r="O50" s="57"/>
      <c r="P50" s="57"/>
      <c r="Q50" s="57"/>
      <c r="R50" s="57"/>
      <c r="S50" s="57"/>
      <c r="T50" s="57"/>
      <c r="U50" s="57"/>
      <c r="V50" s="57"/>
    </row>
    <row r="51" spans="2:51" ht="15" customHeight="1">
      <c r="N51" s="127"/>
      <c r="O51" s="127"/>
      <c r="P51" s="127"/>
      <c r="Q51" s="127"/>
      <c r="R51" s="127"/>
      <c r="S51" s="127"/>
      <c r="T51" s="127"/>
      <c r="U51" s="107"/>
    </row>
    <row r="52" spans="2:51" ht="14.5" customHeight="1">
      <c r="N52" s="127"/>
      <c r="O52" s="127"/>
      <c r="P52" s="128"/>
      <c r="Q52" s="127"/>
      <c r="R52" s="127"/>
      <c r="S52" s="127"/>
      <c r="T52" s="127"/>
      <c r="U52" s="107"/>
    </row>
    <row r="53" spans="2:51" ht="15.75" customHeight="1">
      <c r="N53" s="127"/>
      <c r="O53" s="127"/>
      <c r="P53" s="128"/>
      <c r="Q53" s="128"/>
      <c r="R53" s="128"/>
      <c r="S53" s="128"/>
      <c r="T53" s="128"/>
      <c r="U53" s="83"/>
    </row>
    <row r="54" spans="2:51">
      <c r="N54" s="57"/>
      <c r="O54" s="57"/>
      <c r="P54" s="57"/>
      <c r="Q54" s="57"/>
      <c r="R54" s="57"/>
      <c r="S54" s="57"/>
      <c r="T54" s="57"/>
      <c r="U54" s="57"/>
    </row>
    <row r="55" spans="2:51" ht="15" customHeight="1">
      <c r="N55" s="57"/>
      <c r="O55" s="57"/>
      <c r="P55" s="57"/>
      <c r="Q55" s="57"/>
      <c r="R55" s="57"/>
      <c r="S55" s="57"/>
      <c r="T55" s="57"/>
      <c r="U55" s="57"/>
    </row>
    <row r="56" spans="2:51" ht="15.75" customHeight="1">
      <c r="N56" s="57"/>
      <c r="O56" s="57"/>
      <c r="P56" s="57"/>
      <c r="Q56" s="57"/>
      <c r="R56" s="57"/>
      <c r="S56" s="57"/>
      <c r="T56" s="57"/>
      <c r="U56" s="57"/>
    </row>
    <row r="57" spans="2:51" ht="25.5" customHeight="1">
      <c r="N57" s="57"/>
      <c r="O57" s="57"/>
      <c r="P57" s="57"/>
      <c r="Q57" s="57"/>
      <c r="R57" s="57"/>
      <c r="S57" s="57"/>
      <c r="T57" s="57"/>
      <c r="U57" s="57"/>
    </row>
    <row r="58" spans="2:51">
      <c r="N58" s="57"/>
      <c r="O58" s="57"/>
      <c r="P58" s="57"/>
      <c r="Q58" s="57"/>
      <c r="R58" s="57"/>
      <c r="S58" s="57"/>
      <c r="T58" s="57"/>
      <c r="U58" s="57"/>
    </row>
    <row r="59" spans="2:51" ht="15.75" customHeight="1">
      <c r="N59" s="129"/>
      <c r="O59" s="129"/>
      <c r="P59" s="129"/>
      <c r="Q59" s="129"/>
      <c r="R59" s="129"/>
      <c r="S59" s="129"/>
      <c r="T59" s="129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</row>
    <row r="61" spans="2:51" ht="14.5" customHeight="1">
      <c r="N61" s="129"/>
      <c r="O61" s="129"/>
      <c r="P61" s="129"/>
      <c r="Q61" s="129"/>
      <c r="R61" s="129"/>
      <c r="S61" s="129"/>
      <c r="T61" s="129"/>
    </row>
    <row r="62" spans="2:51" ht="15" customHeight="1">
      <c r="N62" s="129"/>
      <c r="O62" s="129"/>
      <c r="P62" s="129"/>
      <c r="Q62" s="129"/>
      <c r="R62" s="129"/>
      <c r="S62" s="129"/>
      <c r="T62" s="129"/>
    </row>
    <row r="63" spans="2:51" ht="15" customHeight="1">
      <c r="N63" s="129"/>
      <c r="O63" s="129"/>
      <c r="P63" s="129"/>
      <c r="Q63" s="129"/>
      <c r="R63" s="129"/>
      <c r="S63" s="129"/>
      <c r="T63" s="129"/>
    </row>
    <row r="64" spans="2:51" ht="14.5" customHeight="1">
      <c r="N64" s="129"/>
      <c r="O64" s="129"/>
      <c r="P64" s="129"/>
      <c r="Q64" s="129"/>
      <c r="R64" s="129"/>
      <c r="S64" s="129"/>
      <c r="T64" s="129"/>
    </row>
    <row r="65" spans="14:20" ht="14.5" customHeight="1">
      <c r="N65" s="127"/>
      <c r="O65" s="127"/>
      <c r="P65" s="127"/>
      <c r="Q65" s="127"/>
      <c r="R65" s="127"/>
      <c r="S65" s="127"/>
      <c r="T65" s="127"/>
    </row>
    <row r="66" spans="14:20">
      <c r="N66" s="130"/>
      <c r="O66" s="128"/>
      <c r="P66" s="128"/>
      <c r="Q66" s="128"/>
      <c r="R66" s="128"/>
      <c r="S66" s="128"/>
      <c r="T66" s="128"/>
    </row>
    <row r="67" spans="14:20">
      <c r="N67" s="56"/>
      <c r="O67" s="57"/>
      <c r="P67" s="57"/>
      <c r="Q67" s="58"/>
      <c r="R67" s="57"/>
      <c r="S67" s="57"/>
      <c r="T67" s="57"/>
    </row>
    <row r="68" spans="14:20">
      <c r="N68" s="56"/>
      <c r="O68" s="57"/>
      <c r="P68" s="58"/>
      <c r="Q68" s="58"/>
      <c r="R68" s="58"/>
      <c r="S68" s="58"/>
      <c r="T68" s="58"/>
    </row>
    <row r="69" spans="14:20">
      <c r="N69" s="56"/>
      <c r="O69" s="58"/>
      <c r="P69" s="58"/>
      <c r="Q69" s="58"/>
      <c r="R69" s="58"/>
      <c r="S69" s="58"/>
      <c r="T69" s="58"/>
    </row>
    <row r="70" spans="14:20" ht="25.5" customHeight="1">
      <c r="N70" s="56"/>
      <c r="O70" s="57"/>
      <c r="P70" s="58"/>
      <c r="Q70" s="58"/>
      <c r="R70" s="58"/>
      <c r="S70" s="58"/>
      <c r="T70" s="58"/>
    </row>
    <row r="71" spans="14:20">
      <c r="N71" s="56"/>
      <c r="O71" s="57"/>
      <c r="P71" s="58"/>
      <c r="Q71" s="58"/>
      <c r="R71" s="58"/>
      <c r="S71" s="58"/>
      <c r="T71" s="58"/>
    </row>
    <row r="72" spans="14:20">
      <c r="N72" s="56"/>
      <c r="O72" s="57"/>
      <c r="P72" s="58"/>
      <c r="Q72" s="58"/>
      <c r="R72" s="58"/>
      <c r="S72" s="58"/>
      <c r="T72" s="57"/>
    </row>
    <row r="73" spans="14:20" ht="14.5" customHeight="1">
      <c r="N73" s="127"/>
      <c r="O73" s="127"/>
      <c r="P73" s="127"/>
    </row>
    <row r="74" spans="14:20" ht="14.5" customHeight="1">
      <c r="N74" s="127"/>
      <c r="O74" s="127"/>
      <c r="P74" s="127"/>
    </row>
    <row r="75" spans="14:20">
      <c r="N75" s="128"/>
      <c r="O75" s="128"/>
      <c r="P75" s="128"/>
    </row>
    <row r="76" spans="14:20">
      <c r="N76" s="57"/>
      <c r="O76" s="57"/>
      <c r="P76" s="57"/>
    </row>
    <row r="77" spans="14:20" ht="14.5" customHeight="1">
      <c r="N77" s="56"/>
      <c r="O77" s="57"/>
    </row>
    <row r="78" spans="14:20">
      <c r="N78" s="56"/>
      <c r="O78" s="57"/>
    </row>
    <row r="79" spans="14:20">
      <c r="N79" s="56"/>
      <c r="O79" s="57"/>
    </row>
    <row r="80" spans="14:20" ht="29.25" customHeight="1">
      <c r="N80" s="106"/>
      <c r="O80" s="106"/>
      <c r="P80" s="106"/>
      <c r="Q80" s="106"/>
      <c r="R80" s="106"/>
      <c r="S80" s="106"/>
      <c r="T80" s="106"/>
    </row>
  </sheetData>
  <mergeCells count="25">
    <mergeCell ref="N35:P35"/>
    <mergeCell ref="N43:P43"/>
    <mergeCell ref="N2:S2"/>
    <mergeCell ref="N3:S3"/>
    <mergeCell ref="N4:S4"/>
    <mergeCell ref="N5:S5"/>
    <mergeCell ref="N24:R24"/>
    <mergeCell ref="N30:S30"/>
    <mergeCell ref="N32:P32"/>
    <mergeCell ref="N33:P33"/>
    <mergeCell ref="N34:P34"/>
    <mergeCell ref="N36:P36"/>
    <mergeCell ref="N37:P37"/>
    <mergeCell ref="N18:N19"/>
    <mergeCell ref="O18:O19"/>
    <mergeCell ref="R18:R19"/>
    <mergeCell ref="C2:F2"/>
    <mergeCell ref="N8:S8"/>
    <mergeCell ref="S18:S19"/>
    <mergeCell ref="H9:J9"/>
    <mergeCell ref="N9:N10"/>
    <mergeCell ref="O9:O10"/>
    <mergeCell ref="R9:R10"/>
    <mergeCell ref="S9:S10"/>
    <mergeCell ref="N17:S17"/>
  </mergeCells>
  <conditionalFormatting sqref="C11 G11">
    <cfRule type="expression" dxfId="21" priority="21">
      <formula>C6&lt;0</formula>
    </cfRule>
    <cfRule type="expression" dxfId="20" priority="22">
      <formula>C6&gt;=0</formula>
    </cfRule>
  </conditionalFormatting>
  <conditionalFormatting sqref="C12 G12">
    <cfRule type="expression" dxfId="19" priority="19">
      <formula>C6&lt;0</formula>
    </cfRule>
    <cfRule type="expression" dxfId="18" priority="20">
      <formula>C6&gt;=0</formula>
    </cfRule>
  </conditionalFormatting>
  <conditionalFormatting sqref="C13 G13">
    <cfRule type="expression" dxfId="17" priority="17">
      <formula>C6&lt;0</formula>
    </cfRule>
    <cfRule type="expression" dxfId="16" priority="18">
      <formula>C6&gt;=0</formula>
    </cfRule>
  </conditionalFormatting>
  <conditionalFormatting sqref="C14 G14">
    <cfRule type="expression" dxfId="15" priority="15">
      <formula>C6&lt;0</formula>
    </cfRule>
    <cfRule type="expression" dxfId="14" priority="16">
      <formula>C6&gt;=0</formula>
    </cfRule>
  </conditionalFormatting>
  <conditionalFormatting sqref="C15 G15">
    <cfRule type="expression" dxfId="13" priority="13">
      <formula>C6&lt;0</formula>
    </cfRule>
    <cfRule type="expression" dxfId="12" priority="14">
      <formula>C6&gt;=0</formula>
    </cfRule>
  </conditionalFormatting>
  <conditionalFormatting sqref="C16 G16 C26:G26">
    <cfRule type="expression" dxfId="11" priority="11">
      <formula>C6&lt;0</formula>
    </cfRule>
    <cfRule type="expression" dxfId="10" priority="12">
      <formula>C6&gt;=0</formula>
    </cfRule>
  </conditionalFormatting>
  <conditionalFormatting sqref="C17 G17">
    <cfRule type="expression" dxfId="9" priority="9">
      <formula>C6&lt;0</formula>
    </cfRule>
    <cfRule type="expression" dxfId="8" priority="10">
      <formula>C6&gt;=0</formula>
    </cfRule>
  </conditionalFormatting>
  <conditionalFormatting sqref="C27 G27">
    <cfRule type="expression" dxfId="7" priority="5">
      <formula>C5&lt;0</formula>
    </cfRule>
    <cfRule type="expression" dxfId="6" priority="6">
      <formula>C5&gt;=0</formula>
    </cfRule>
  </conditionalFormatting>
  <conditionalFormatting sqref="C5:G5 G6">
    <cfRule type="expression" dxfId="5" priority="3">
      <formula>C4&lt;0</formula>
    </cfRule>
    <cfRule type="expression" dxfId="4" priority="4">
      <formula>C4&gt;=0</formula>
    </cfRule>
  </conditionalFormatting>
  <conditionalFormatting sqref="C7:G8">
    <cfRule type="expression" dxfId="3" priority="7">
      <formula>C5&lt;0</formula>
    </cfRule>
    <cfRule type="expression" dxfId="2" priority="8">
      <formula>C5&gt;=0</formula>
    </cfRule>
  </conditionalFormatting>
  <conditionalFormatting sqref="C9:G9">
    <cfRule type="expression" dxfId="1" priority="1">
      <formula>C1048565&lt;0</formula>
    </cfRule>
    <cfRule type="expression" dxfId="0" priority="2">
      <formula>C1048565&gt;=0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63ED-4B74-4035-B4A5-D614BE3C9ED5}">
  <dimension ref="A1:K42"/>
  <sheetViews>
    <sheetView topLeftCell="A28" workbookViewId="0">
      <selection activeCell="I35" sqref="I35:K35"/>
    </sheetView>
  </sheetViews>
  <sheetFormatPr baseColWidth="10" defaultColWidth="8.83203125" defaultRowHeight="15"/>
  <cols>
    <col min="1" max="1" width="33.5" bestFit="1" customWidth="1"/>
    <col min="4" max="4" width="8.6640625"/>
    <col min="9" max="14" width="8.6640625"/>
  </cols>
  <sheetData>
    <row r="1" spans="1:11" ht="65">
      <c r="A1" s="97" t="s">
        <v>181</v>
      </c>
      <c r="I1" s="85" t="s">
        <v>233</v>
      </c>
      <c r="J1" s="72" t="s">
        <v>276</v>
      </c>
    </row>
    <row r="2" spans="1:11" ht="36">
      <c r="A2" s="86" t="s">
        <v>182</v>
      </c>
      <c r="B2" s="72" t="s">
        <v>232</v>
      </c>
      <c r="I2" s="86" t="s">
        <v>234</v>
      </c>
    </row>
    <row r="3" spans="1:11">
      <c r="A3" s="87" t="s">
        <v>183</v>
      </c>
      <c r="I3" s="87" t="s">
        <v>235</v>
      </c>
    </row>
    <row r="4" spans="1:11" ht="24">
      <c r="A4" s="86" t="s">
        <v>184</v>
      </c>
      <c r="I4" s="86" t="s">
        <v>236</v>
      </c>
    </row>
    <row r="5" spans="1:11" ht="72">
      <c r="A5" s="87" t="s">
        <v>185</v>
      </c>
      <c r="I5" s="87" t="s">
        <v>250</v>
      </c>
    </row>
    <row r="6" spans="1:11" ht="36">
      <c r="A6" s="86" t="s">
        <v>186</v>
      </c>
      <c r="I6" s="86" t="s">
        <v>237</v>
      </c>
    </row>
    <row r="7" spans="1:11">
      <c r="A7" s="87" t="s">
        <v>187</v>
      </c>
      <c r="I7" s="87" t="s">
        <v>238</v>
      </c>
    </row>
    <row r="8" spans="1:11" ht="72">
      <c r="A8" s="86" t="s">
        <v>188</v>
      </c>
      <c r="I8" s="86" t="s">
        <v>239</v>
      </c>
    </row>
    <row r="9" spans="1:11" ht="36">
      <c r="A9" s="87" t="s">
        <v>189</v>
      </c>
      <c r="I9" s="87" t="s">
        <v>251</v>
      </c>
    </row>
    <row r="10" spans="1:11" ht="36">
      <c r="A10" s="92" t="s">
        <v>190</v>
      </c>
      <c r="B10" s="93"/>
      <c r="C10" s="94"/>
      <c r="D10" s="94"/>
      <c r="I10" s="92" t="s">
        <v>240</v>
      </c>
      <c r="J10" s="93"/>
      <c r="K10" s="94"/>
    </row>
    <row r="11" spans="1:11">
      <c r="A11" s="95" t="s">
        <v>191</v>
      </c>
      <c r="B11" s="88"/>
      <c r="C11" s="89" t="s">
        <v>192</v>
      </c>
      <c r="D11" s="89">
        <v>0.9</v>
      </c>
      <c r="I11" s="96" t="s">
        <v>252</v>
      </c>
      <c r="J11" s="90"/>
      <c r="K11" s="89">
        <v>3.55</v>
      </c>
    </row>
    <row r="12" spans="1:11">
      <c r="A12" s="96" t="s">
        <v>193</v>
      </c>
      <c r="B12" s="90"/>
      <c r="C12" s="89" t="s">
        <v>194</v>
      </c>
      <c r="D12" s="89">
        <v>0.6</v>
      </c>
      <c r="I12" s="96" t="s">
        <v>253</v>
      </c>
      <c r="J12" s="90"/>
      <c r="K12" s="89">
        <v>2.52</v>
      </c>
    </row>
    <row r="13" spans="1:11">
      <c r="A13" s="96" t="s">
        <v>195</v>
      </c>
      <c r="B13" s="90"/>
      <c r="C13" s="89" t="s">
        <v>196</v>
      </c>
      <c r="D13" s="89">
        <v>0.4</v>
      </c>
      <c r="I13" s="96" t="s">
        <v>254</v>
      </c>
      <c r="J13" s="90"/>
      <c r="K13" s="89">
        <v>1.55</v>
      </c>
    </row>
    <row r="14" spans="1:11">
      <c r="A14" s="96" t="s">
        <v>197</v>
      </c>
      <c r="B14" s="90"/>
      <c r="C14" s="89" t="s">
        <v>198</v>
      </c>
      <c r="D14" s="89">
        <v>0.8</v>
      </c>
      <c r="I14" s="96" t="s">
        <v>255</v>
      </c>
      <c r="J14" s="90"/>
      <c r="K14" s="89">
        <v>3.2</v>
      </c>
    </row>
    <row r="15" spans="1:11">
      <c r="A15" s="96" t="s">
        <v>199</v>
      </c>
      <c r="B15" s="90"/>
      <c r="C15" s="89" t="s">
        <v>200</v>
      </c>
      <c r="D15" s="89">
        <v>-4.2</v>
      </c>
      <c r="I15" s="96" t="s">
        <v>256</v>
      </c>
      <c r="J15" s="90"/>
      <c r="K15" s="89">
        <v>-15.6</v>
      </c>
    </row>
    <row r="16" spans="1:11">
      <c r="A16" s="96" t="s">
        <v>201</v>
      </c>
      <c r="B16" s="90"/>
      <c r="C16" s="89" t="s">
        <v>202</v>
      </c>
      <c r="D16" s="89">
        <v>-15</v>
      </c>
      <c r="I16" s="96" t="s">
        <v>257</v>
      </c>
      <c r="J16" s="90"/>
      <c r="K16" s="89">
        <v>-47.9</v>
      </c>
    </row>
    <row r="17" spans="1:11">
      <c r="A17" s="96" t="s">
        <v>203</v>
      </c>
      <c r="B17" s="90"/>
      <c r="C17" s="89" t="s">
        <v>204</v>
      </c>
      <c r="D17" s="89">
        <v>14.4</v>
      </c>
      <c r="I17" s="96" t="s">
        <v>258</v>
      </c>
      <c r="J17" s="90"/>
      <c r="K17" s="89">
        <v>71.099999999999994</v>
      </c>
    </row>
    <row r="18" spans="1:11">
      <c r="A18" s="96" t="s">
        <v>205</v>
      </c>
      <c r="B18" s="90"/>
      <c r="C18" s="89" t="s">
        <v>206</v>
      </c>
      <c r="D18" s="89">
        <v>0.2</v>
      </c>
      <c r="I18" s="96" t="s">
        <v>259</v>
      </c>
      <c r="J18" s="90"/>
      <c r="K18" s="89">
        <v>0.94</v>
      </c>
    </row>
    <row r="19" spans="1:11">
      <c r="A19" s="96" t="s">
        <v>207</v>
      </c>
      <c r="B19" s="90"/>
      <c r="C19" s="89" t="s">
        <v>208</v>
      </c>
      <c r="D19" s="89">
        <v>-2.8</v>
      </c>
      <c r="I19" s="96" t="s">
        <v>260</v>
      </c>
      <c r="J19" s="90"/>
      <c r="K19" s="89">
        <v>-10.81</v>
      </c>
    </row>
    <row r="20" spans="1:11">
      <c r="A20" s="96" t="s">
        <v>209</v>
      </c>
      <c r="B20" s="90"/>
      <c r="C20" s="89" t="s">
        <v>210</v>
      </c>
      <c r="D20" s="89">
        <v>4.5999999999999996</v>
      </c>
      <c r="I20" s="96" t="s">
        <v>261</v>
      </c>
      <c r="J20" s="90"/>
      <c r="K20" s="89">
        <v>19.600000000000001</v>
      </c>
    </row>
    <row r="21" spans="1:11">
      <c r="A21" s="96" t="s">
        <v>211</v>
      </c>
      <c r="B21" s="90"/>
      <c r="C21" s="89" t="s">
        <v>212</v>
      </c>
      <c r="D21" s="89">
        <v>3.6</v>
      </c>
      <c r="I21" s="96" t="s">
        <v>262</v>
      </c>
      <c r="J21" s="90"/>
      <c r="K21" s="89">
        <v>15.17</v>
      </c>
    </row>
    <row r="22" spans="1:11">
      <c r="A22" s="96" t="s">
        <v>213</v>
      </c>
      <c r="B22" s="90"/>
      <c r="C22" s="89" t="s">
        <v>214</v>
      </c>
      <c r="D22" s="89">
        <v>1.9</v>
      </c>
      <c r="I22" s="96" t="s">
        <v>263</v>
      </c>
      <c r="J22" s="90"/>
      <c r="K22" s="89">
        <v>7.67</v>
      </c>
    </row>
    <row r="23" spans="1:11">
      <c r="A23" s="96" t="s">
        <v>215</v>
      </c>
      <c r="B23" s="90"/>
      <c r="C23" s="89" t="s">
        <v>216</v>
      </c>
      <c r="D23" s="89">
        <v>1.7</v>
      </c>
      <c r="I23" s="96" t="s">
        <v>264</v>
      </c>
      <c r="J23" s="90"/>
      <c r="K23" s="89">
        <v>6.83</v>
      </c>
    </row>
    <row r="24" spans="1:11">
      <c r="A24" s="96" t="s">
        <v>217</v>
      </c>
      <c r="B24" s="90"/>
      <c r="C24" s="89" t="s">
        <v>196</v>
      </c>
      <c r="D24" s="89">
        <v>0.4</v>
      </c>
      <c r="I24" s="96" t="s">
        <v>265</v>
      </c>
      <c r="J24" s="90"/>
      <c r="K24" s="89">
        <v>1.47</v>
      </c>
    </row>
    <row r="25" spans="1:11">
      <c r="A25" s="96" t="s">
        <v>218</v>
      </c>
      <c r="B25" s="90"/>
      <c r="C25" s="89" t="s">
        <v>219</v>
      </c>
      <c r="D25" s="89">
        <v>1</v>
      </c>
      <c r="I25" s="96" t="s">
        <v>266</v>
      </c>
      <c r="J25" s="90"/>
      <c r="K25" s="89">
        <v>4.1100000000000003</v>
      </c>
    </row>
    <row r="26" spans="1:11">
      <c r="A26" s="96" t="s">
        <v>220</v>
      </c>
      <c r="B26" s="90"/>
      <c r="C26" s="89" t="s">
        <v>221</v>
      </c>
      <c r="D26" s="89">
        <v>0.5</v>
      </c>
      <c r="I26" s="96" t="s">
        <v>267</v>
      </c>
      <c r="J26" s="90"/>
      <c r="K26" s="89">
        <v>1.97</v>
      </c>
    </row>
    <row r="27" spans="1:11">
      <c r="A27" s="96" t="s">
        <v>222</v>
      </c>
      <c r="B27" s="90"/>
      <c r="C27" s="91" t="s">
        <v>223</v>
      </c>
      <c r="D27" s="91">
        <v>1.4</v>
      </c>
      <c r="I27" s="96" t="s">
        <v>268</v>
      </c>
      <c r="J27" s="90"/>
      <c r="K27" s="89">
        <v>5.56</v>
      </c>
    </row>
    <row r="28" spans="1:11">
      <c r="A28" s="96" t="s">
        <v>224</v>
      </c>
      <c r="B28" s="90"/>
      <c r="C28" s="91" t="s">
        <v>225</v>
      </c>
      <c r="D28" s="91">
        <v>0.2</v>
      </c>
      <c r="I28" s="96" t="s">
        <v>269</v>
      </c>
      <c r="J28" s="90"/>
      <c r="K28" s="89">
        <v>0.88</v>
      </c>
    </row>
    <row r="29" spans="1:11">
      <c r="A29" s="96" t="s">
        <v>226</v>
      </c>
      <c r="B29" s="90"/>
      <c r="C29" s="91" t="s">
        <v>227</v>
      </c>
      <c r="D29" s="91">
        <v>-0.1</v>
      </c>
      <c r="I29" s="96" t="s">
        <v>270</v>
      </c>
      <c r="J29" s="90"/>
      <c r="K29" s="89">
        <v>-0.42</v>
      </c>
    </row>
    <row r="30" spans="1:11">
      <c r="A30" s="96" t="s">
        <v>228</v>
      </c>
      <c r="B30" s="90"/>
      <c r="C30" s="91" t="s">
        <v>229</v>
      </c>
      <c r="D30" s="91">
        <v>0.6</v>
      </c>
      <c r="I30" s="96" t="s">
        <v>271</v>
      </c>
      <c r="J30" s="90"/>
      <c r="K30" s="89">
        <v>2.5499999999999998</v>
      </c>
    </row>
    <row r="31" spans="1:11">
      <c r="A31" s="96" t="s">
        <v>33</v>
      </c>
      <c r="B31" s="90"/>
      <c r="C31" s="91" t="s">
        <v>229</v>
      </c>
      <c r="D31" s="91">
        <v>0.6</v>
      </c>
      <c r="I31" s="96" t="s">
        <v>272</v>
      </c>
      <c r="J31" s="90"/>
      <c r="K31" s="89">
        <v>2.44</v>
      </c>
    </row>
    <row r="32" spans="1:11">
      <c r="A32" s="96" t="s">
        <v>34</v>
      </c>
      <c r="B32" s="90"/>
      <c r="C32" s="91" t="s">
        <v>230</v>
      </c>
      <c r="D32" s="91">
        <v>0.4</v>
      </c>
      <c r="I32" s="96" t="s">
        <v>273</v>
      </c>
      <c r="J32" s="90"/>
      <c r="K32" s="89">
        <v>1.44</v>
      </c>
    </row>
    <row r="33" spans="1:11">
      <c r="A33" s="96" t="s">
        <v>35</v>
      </c>
      <c r="B33" s="90"/>
      <c r="C33" s="91" t="s">
        <v>230</v>
      </c>
      <c r="D33" s="91">
        <v>0.4</v>
      </c>
      <c r="I33" s="96" t="s">
        <v>274</v>
      </c>
      <c r="J33" s="90"/>
      <c r="K33" s="89">
        <v>1.45</v>
      </c>
    </row>
    <row r="34" spans="1:11">
      <c r="A34" s="96" t="s">
        <v>28</v>
      </c>
      <c r="B34" s="90"/>
      <c r="C34" s="91" t="s">
        <v>223</v>
      </c>
      <c r="D34" s="91">
        <v>1.4</v>
      </c>
      <c r="I34" s="96" t="s">
        <v>275</v>
      </c>
      <c r="J34" s="90"/>
      <c r="K34" s="89">
        <v>5.72</v>
      </c>
    </row>
    <row r="35" spans="1:11">
      <c r="A35" s="96" t="s">
        <v>24</v>
      </c>
      <c r="B35" s="90"/>
      <c r="C35" s="91" t="s">
        <v>231</v>
      </c>
      <c r="D35" s="98">
        <v>-0.4</v>
      </c>
      <c r="E35" s="100"/>
      <c r="F35" s="101"/>
      <c r="G35" s="102"/>
      <c r="I35" s="96" t="s">
        <v>241</v>
      </c>
      <c r="J35" s="90"/>
      <c r="K35" s="89">
        <v>-1.79</v>
      </c>
    </row>
    <row r="36" spans="1:11">
      <c r="A36" s="96" t="s">
        <v>25</v>
      </c>
      <c r="B36" s="90"/>
      <c r="C36" s="89" t="s">
        <v>194</v>
      </c>
      <c r="D36" s="99">
        <v>0.6</v>
      </c>
      <c r="E36" s="100"/>
      <c r="F36" s="101"/>
      <c r="G36" s="102"/>
      <c r="I36" s="96" t="s">
        <v>242</v>
      </c>
      <c r="J36" s="90"/>
      <c r="K36" s="89">
        <v>3.45</v>
      </c>
    </row>
    <row r="37" spans="1:11">
      <c r="A37" s="96" t="s">
        <v>243</v>
      </c>
      <c r="B37" s="90" t="s">
        <v>249</v>
      </c>
      <c r="C37">
        <v>1.9</v>
      </c>
      <c r="E37" s="100"/>
      <c r="F37" s="101"/>
      <c r="G37" s="102"/>
      <c r="I37" s="96" t="s">
        <v>243</v>
      </c>
      <c r="J37" s="90"/>
      <c r="K37" s="89">
        <v>1.85</v>
      </c>
    </row>
    <row r="38" spans="1:11">
      <c r="A38" s="96" t="s">
        <v>244</v>
      </c>
      <c r="B38" s="90" t="s">
        <v>249</v>
      </c>
      <c r="C38">
        <v>1.8</v>
      </c>
      <c r="E38" s="100"/>
      <c r="F38" s="101"/>
      <c r="G38" s="102"/>
      <c r="I38" s="96" t="s">
        <v>244</v>
      </c>
      <c r="J38" s="90"/>
      <c r="K38" s="89">
        <v>1.78</v>
      </c>
    </row>
    <row r="39" spans="1:11">
      <c r="A39" s="96" t="s">
        <v>245</v>
      </c>
      <c r="B39" s="90" t="s">
        <v>249</v>
      </c>
      <c r="C39">
        <v>1.9</v>
      </c>
      <c r="E39" s="100"/>
      <c r="F39" s="101"/>
      <c r="G39" s="102"/>
      <c r="I39" s="96" t="s">
        <v>245</v>
      </c>
      <c r="J39" s="90"/>
      <c r="K39" s="89">
        <v>1.79</v>
      </c>
    </row>
    <row r="40" spans="1:11">
      <c r="A40" s="96" t="s">
        <v>246</v>
      </c>
      <c r="B40" s="90" t="s">
        <v>249</v>
      </c>
      <c r="C40">
        <v>1.9</v>
      </c>
      <c r="E40" s="100"/>
      <c r="F40" s="101"/>
      <c r="G40" s="102"/>
      <c r="I40" s="96" t="s">
        <v>246</v>
      </c>
      <c r="J40" s="90"/>
      <c r="K40" s="89">
        <v>1.87</v>
      </c>
    </row>
    <row r="41" spans="1:11">
      <c r="A41" s="96" t="s">
        <v>247</v>
      </c>
      <c r="B41" s="90" t="s">
        <v>249</v>
      </c>
      <c r="C41">
        <v>1.9</v>
      </c>
      <c r="E41" s="100"/>
      <c r="F41" s="101"/>
      <c r="G41" s="102"/>
      <c r="I41" s="96" t="s">
        <v>247</v>
      </c>
      <c r="J41" s="90"/>
      <c r="K41" s="89">
        <v>1.95</v>
      </c>
    </row>
    <row r="42" spans="1:11">
      <c r="A42" s="96" t="s">
        <v>248</v>
      </c>
      <c r="B42" s="90" t="s">
        <v>249</v>
      </c>
      <c r="C42">
        <v>2</v>
      </c>
      <c r="E42" s="100"/>
      <c r="F42" s="101"/>
      <c r="G42" s="102"/>
      <c r="I42" s="96" t="s">
        <v>248</v>
      </c>
      <c r="J42" s="90"/>
      <c r="K42" s="89">
        <v>1.97</v>
      </c>
    </row>
  </sheetData>
  <hyperlinks>
    <hyperlink ref="B2" r:id="rId1" display="https://data-explorer.oecd.org/vis?df%5bds%5d=dsDisseminateFinalDMZ&amp;df%5bid%5d=DSD_NAMAIN1%40DF_QNA_EXPENDITURE_GROWTH_OECD&amp;df%5bag%5d=OECD.SDD.NAD&amp;df%5bvs%5d=&amp;dq=Q..PRT...B1GQ......G1.&amp;ly%5bcl%5d=TIME_PERIOD&amp;to%5bTIME_PERIOD%5d=false&amp;vw=tb&amp;pd=2019-Q1%2C2025-Q2" xr:uid="{1A4FD857-D8F2-4380-ABAE-E7F864DBFDFC}"/>
    <hyperlink ref="J1" r:id="rId2" display="https://data-explorer.oecd.org/vis?tm=DF_EO&amp;pg=0&amp;snb=1&amp;vw=tb&amp;df%5bds%5d=dsDisseminateFinalDMZ&amp;df%5bid%5d=DSD_EO%40DF_EO&amp;df%5bag%5d=OECD.ECO.MAD&amp;df%5bvs%5d=&amp;lb=bt&amp;dq=PRT.GDPV_ANNPCT.Q&amp;pd=2019-Q1%2C2026-Q4&amp;ly%5bcl%5d=TIME_PERIOD&amp;ly%5brs%5d=MEASURE&amp;to%5bTIME_PERIOD%5d=false" xr:uid="{025F7C58-5672-45EB-9CA0-AEBA981E9D9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Portugal_indicadores</vt:lpstr>
      <vt:lpstr>Consolidado_projection</vt:lpstr>
      <vt:lpstr>Consolidado_projection (2)</vt:lpstr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Natalia</dc:creator>
  <cp:lastModifiedBy>KLING Eloi</cp:lastModifiedBy>
  <dcterms:created xsi:type="dcterms:W3CDTF">2024-08-21T14:47:31Z</dcterms:created>
  <dcterms:modified xsi:type="dcterms:W3CDTF">2025-09-05T09:21:31Z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